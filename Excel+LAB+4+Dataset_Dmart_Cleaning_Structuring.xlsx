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dvance Excel\"/>
    </mc:Choice>
  </mc:AlternateContent>
  <xr:revisionPtr revIDLastSave="0" documentId="13_ncr:1_{B64F7159-749D-4353-A10E-31509A33B5A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MartDataset" sheetId="1" r:id="rId1"/>
    <sheet name="Flashfill" sheetId="3" r:id="rId2"/>
    <sheet name="Customlist" sheetId="4" r:id="rId3"/>
    <sheet name="IF,Iferror" sheetId="8" r:id="rId4"/>
    <sheet name="Sheet8" sheetId="9" r:id="rId5"/>
    <sheet name="Lookup" sheetId="10" r:id="rId6"/>
  </sheets>
  <definedNames>
    <definedName name="_xlnm._FilterDatabase" localSheetId="4" hidden="1">Sheet8!$A$1:$A$8</definedName>
    <definedName name="Customertype">DMart_Sales_Data[customer_type]</definedName>
    <definedName name="Orderdate">DMart_Sales_Data[order_date]</definedName>
    <definedName name="Orders">DMart_Sales_Data[OrderID]</definedName>
    <definedName name="PaymentMode">DMart_Sales_Data[payment_mode]</definedName>
    <definedName name="region">DMart_Sales_Data[Updated_Region]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10" l="1"/>
  <c r="C19" i="10"/>
  <c r="F20" i="10"/>
  <c r="F19" i="10"/>
  <c r="D12" i="10"/>
  <c r="B15" i="10"/>
  <c r="C12" i="10"/>
  <c r="B14" i="10"/>
  <c r="E12" i="10"/>
  <c r="W14" i="1" a="1"/>
  <c r="Y14" i="1" a="1"/>
  <c r="H504" i="1" a="1"/>
  <c r="H503" i="1" a="1"/>
  <c r="H502" i="1"/>
  <c r="D11" i="9"/>
  <c r="D10" i="9"/>
  <c r="C11" i="9"/>
  <c r="C10" i="9"/>
  <c r="F28" i="4"/>
  <c r="X14" i="1" a="1"/>
  <c r="Y27" i="1" a="1"/>
  <c r="Y26" i="1" a="1"/>
  <c r="Y25" i="1"/>
  <c r="Y24" i="1" a="1"/>
  <c r="X21" i="1" a="1"/>
  <c r="X20" i="1" a="1"/>
  <c r="X19" i="1" a="1"/>
  <c r="X18" i="1" a="1"/>
  <c r="Y21" i="1" a="1"/>
  <c r="Y20" i="1" a="1"/>
  <c r="Y19" i="1" a="1"/>
  <c r="Y18" i="1" a="1"/>
  <c r="U24" i="1"/>
  <c r="U22" i="1"/>
  <c r="U20" i="1"/>
  <c r="U18" i="1"/>
  <c r="U16" i="1"/>
  <c r="U13" i="1"/>
  <c r="U14" i="1"/>
  <c r="U12" i="1"/>
  <c r="U1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E13" i="8"/>
  <c r="E14" i="8"/>
  <c r="E15" i="8"/>
  <c r="E16" i="8"/>
  <c r="E12" i="8"/>
  <c r="F5" i="8"/>
  <c r="F6" i="8"/>
  <c r="F7" i="8"/>
  <c r="F8" i="8"/>
  <c r="F4" i="8"/>
  <c r="E5" i="8"/>
  <c r="E6" i="8"/>
  <c r="E7" i="8"/>
  <c r="E8" i="8"/>
  <c r="E4" i="8"/>
  <c r="J23" i="4"/>
  <c r="J24" i="4"/>
  <c r="J25" i="4"/>
  <c r="J26" i="4"/>
  <c r="J27" i="4"/>
  <c r="Q5" i="4"/>
  <c r="Q2" i="4"/>
  <c r="Q3" i="4"/>
  <c r="Q4" i="4"/>
  <c r="L12" i="4"/>
  <c r="L13" i="4"/>
  <c r="L14" i="4"/>
  <c r="L11" i="4"/>
  <c r="F12" i="4"/>
  <c r="F13" i="4"/>
  <c r="F14" i="4"/>
  <c r="F15" i="4"/>
  <c r="F16" i="4"/>
  <c r="F17" i="4"/>
  <c r="F18" i="4"/>
  <c r="F19" i="4"/>
  <c r="F20" i="4"/>
  <c r="F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<sst xmlns="http://schemas.openxmlformats.org/spreadsheetml/2006/main" count="4202" uniqueCount="678">
  <si>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</si>
  <si>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</si>
  <si>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</si>
  <si>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</si>
  <si>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</si>
  <si>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</si>
  <si>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</si>
  <si>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</si>
  <si>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</si>
  <si>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</si>
  <si>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</si>
  <si>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</si>
  <si>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</si>
  <si>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</si>
  <si>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</si>
  <si>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</si>
  <si>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</si>
  <si>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</si>
  <si>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</si>
  <si>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</si>
  <si>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</si>
  <si>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</si>
  <si>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</si>
  <si>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</si>
  <si>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</si>
  <si>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</si>
  <si>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</si>
  <si>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</si>
  <si>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</si>
  <si>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</si>
  <si>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</si>
  <si>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</si>
  <si>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</si>
  <si>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</si>
  <si>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</si>
  <si>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</si>
  <si>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</si>
  <si>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</si>
  <si>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</si>
  <si>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</si>
  <si>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</si>
  <si>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</si>
  <si>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</si>
  <si>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</si>
  <si>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</si>
  <si>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</si>
  <si>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</si>
  <si>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</si>
  <si>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</si>
  <si>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</si>
  <si>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</si>
  <si>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</si>
  <si>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</si>
  <si>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</si>
  <si>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</si>
  <si>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</si>
  <si>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</si>
  <si>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</si>
  <si>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</si>
  <si>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</si>
  <si>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</si>
  <si>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</si>
  <si>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</si>
  <si>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</si>
  <si>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</si>
  <si>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</si>
  <si>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</si>
  <si>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</si>
  <si>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</si>
  <si>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</si>
  <si>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</si>
  <si>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</si>
  <si>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</si>
  <si>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</si>
  <si>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</si>
  <si>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</si>
  <si>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</si>
  <si>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</si>
  <si>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</si>
  <si>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</si>
  <si>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</si>
  <si>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</si>
  <si>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</si>
  <si>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</si>
  <si>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</si>
  <si>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</si>
  <si>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</si>
  <si>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</si>
  <si>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</si>
  <si>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</si>
  <si>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</si>
  <si>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</si>
  <si>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</si>
  <si>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</si>
  <si>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</si>
  <si>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</si>
  <si>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</si>
  <si>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</si>
  <si>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</si>
  <si>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</si>
  <si>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</si>
  <si>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</si>
  <si>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</si>
  <si>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</si>
  <si>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</si>
  <si>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</si>
  <si>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</si>
  <si>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</si>
  <si>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</si>
  <si>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</si>
  <si>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</si>
  <si>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</si>
  <si>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</si>
  <si>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</si>
  <si>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</si>
  <si>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</si>
  <si>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</si>
  <si>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</si>
  <si>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</si>
  <si>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</si>
  <si>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</si>
  <si>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</si>
  <si>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</si>
  <si>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</si>
  <si>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</si>
  <si>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</si>
  <si>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</si>
  <si>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</si>
  <si>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</si>
  <si>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</si>
  <si>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</si>
  <si>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</si>
  <si>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</si>
  <si>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</si>
  <si>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</si>
  <si>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</si>
  <si>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</si>
  <si>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</si>
  <si>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</si>
  <si>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</si>
  <si>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</si>
  <si>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</si>
  <si>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</si>
  <si>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</si>
  <si>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</si>
  <si>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</si>
  <si>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</si>
  <si>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</si>
  <si>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</si>
  <si>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</si>
  <si>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</si>
  <si>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</si>
  <si>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</si>
  <si>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</si>
  <si>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</si>
  <si>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</si>
  <si>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</si>
  <si>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</si>
  <si>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</si>
  <si>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</si>
  <si>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</si>
  <si>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</si>
  <si>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</si>
  <si>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</si>
  <si>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</si>
  <si>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</si>
  <si>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</si>
  <si>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</si>
  <si>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</si>
  <si>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</si>
  <si>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</si>
  <si>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</si>
  <si>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</si>
  <si>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</si>
  <si>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</si>
  <si>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</si>
  <si>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</si>
  <si>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</si>
  <si>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</si>
  <si>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</si>
  <si>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</si>
  <si>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</si>
  <si>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</si>
  <si>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</si>
  <si>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</si>
  <si>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</si>
  <si>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</si>
  <si>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</si>
  <si>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</si>
  <si>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</si>
  <si>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</si>
  <si>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</si>
  <si>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</si>
  <si>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</si>
  <si>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</si>
  <si>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</si>
  <si>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</si>
  <si>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</si>
  <si>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</si>
  <si>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</si>
  <si>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</si>
  <si>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</si>
  <si>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</si>
  <si>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</si>
  <si>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</si>
  <si>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</si>
  <si>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</si>
  <si>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</si>
  <si>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</si>
  <si>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</si>
  <si>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</si>
  <si>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</si>
  <si>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</si>
  <si>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</si>
  <si>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</si>
  <si>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</si>
  <si>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</si>
  <si>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</si>
  <si>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</si>
  <si>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</si>
  <si>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</si>
  <si>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</si>
  <si>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</si>
  <si>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</si>
  <si>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</si>
  <si>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</si>
  <si>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</si>
  <si>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</si>
  <si>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</si>
  <si>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</si>
  <si>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</si>
  <si>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</si>
  <si>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</si>
  <si>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</si>
  <si>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</si>
  <si>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</si>
  <si>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</si>
  <si>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</si>
  <si>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</si>
  <si>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</si>
  <si>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</si>
  <si>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</si>
  <si>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</si>
  <si>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</si>
  <si>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</si>
  <si>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</si>
  <si>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</si>
  <si>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</si>
  <si>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</si>
  <si>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</si>
  <si>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</si>
  <si>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</si>
  <si>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</si>
  <si>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</si>
  <si>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</si>
  <si>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</si>
  <si>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</si>
  <si>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</si>
  <si>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</si>
  <si>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</si>
  <si>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</si>
  <si>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</si>
  <si>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</si>
  <si>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</si>
  <si>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</si>
  <si>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</si>
  <si>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</si>
  <si>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</si>
  <si>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</si>
  <si>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</si>
  <si>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</si>
  <si>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</si>
  <si>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</si>
  <si>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</si>
  <si>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</si>
  <si>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</si>
  <si>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</si>
  <si>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</si>
  <si>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</si>
  <si>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</si>
  <si>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</si>
  <si>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</si>
  <si>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</si>
  <si>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</si>
  <si>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</si>
  <si>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</si>
  <si>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</si>
  <si>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</si>
  <si>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</si>
  <si>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</si>
  <si>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</si>
  <si>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</si>
  <si>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</si>
  <si>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</si>
  <si>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</si>
  <si>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</si>
  <si>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</si>
  <si>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</si>
  <si>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</si>
  <si>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</si>
  <si>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</si>
  <si>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</si>
  <si>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</si>
  <si>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</si>
  <si>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</si>
  <si>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</si>
  <si>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</si>
  <si>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</si>
  <si>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</si>
  <si>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</si>
  <si>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</si>
  <si>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</si>
  <si>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</si>
  <si>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</si>
  <si>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</si>
  <si>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</si>
  <si>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</si>
  <si>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</si>
  <si>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</si>
  <si>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</si>
  <si>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</si>
  <si>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</si>
  <si>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</si>
  <si>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</si>
  <si>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</si>
  <si>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</si>
  <si>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</si>
  <si>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</si>
  <si>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</si>
  <si>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</si>
  <si>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</si>
  <si>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</si>
  <si>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</si>
  <si>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</si>
  <si>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</si>
  <si>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</si>
  <si>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</si>
  <si>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</si>
  <si>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</si>
  <si>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</si>
  <si>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</si>
  <si>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</si>
  <si>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</si>
  <si>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</si>
  <si>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</si>
  <si>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</si>
  <si>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</si>
  <si>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</si>
  <si>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</si>
  <si>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</si>
  <si>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</si>
  <si>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</si>
  <si>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</si>
  <si>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</si>
  <si>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</si>
  <si>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</si>
  <si>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</si>
  <si>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</si>
  <si>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</si>
  <si>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</si>
  <si>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</si>
  <si>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</si>
  <si>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</si>
  <si>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</si>
  <si>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</si>
  <si>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</si>
  <si>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</si>
  <si>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</si>
  <si>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</si>
  <si>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</si>
  <si>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</si>
  <si>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</si>
  <si>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</si>
  <si>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</si>
  <si>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</si>
  <si>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</si>
  <si>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</si>
  <si>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</si>
  <si>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</si>
  <si>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</si>
  <si>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</si>
  <si>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</si>
  <si>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</si>
  <si>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</si>
  <si>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</si>
  <si>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</si>
  <si>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</si>
  <si>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</si>
  <si>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</si>
  <si>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</si>
  <si>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</si>
  <si>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</si>
  <si>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</si>
  <si>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</si>
  <si>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</si>
  <si>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</si>
  <si>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</si>
  <si>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</si>
  <si>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</si>
  <si>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</si>
  <si>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</si>
  <si>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</si>
  <si>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</si>
  <si>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</si>
  <si>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</si>
  <si>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</si>
  <si>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</si>
  <si>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</si>
  <si>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</si>
  <si>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</si>
  <si>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</si>
  <si>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</si>
  <si>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</si>
  <si>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</si>
  <si>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</si>
  <si>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</si>
  <si>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</si>
  <si>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</si>
  <si>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</si>
  <si>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</si>
  <si>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</si>
  <si>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</si>
  <si>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</si>
  <si>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</si>
  <si>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</si>
  <si>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</si>
  <si>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</si>
  <si>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</si>
  <si>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</si>
  <si>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</si>
  <si>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</si>
  <si>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</si>
  <si>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</si>
  <si>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</si>
  <si>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</si>
  <si>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</si>
  <si>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</si>
  <si>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</si>
  <si>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</si>
  <si>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</si>
  <si>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</si>
  <si>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</si>
  <si>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</si>
  <si>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</si>
  <si>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</si>
  <si>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</si>
  <si>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</si>
  <si>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</si>
  <si>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</si>
  <si>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</si>
  <si>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</si>
  <si>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</si>
  <si>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</si>
  <si>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</si>
  <si>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</si>
  <si>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</si>
  <si>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</si>
  <si>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</si>
  <si>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</si>
  <si>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</si>
  <si>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</si>
  <si>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</si>
  <si>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</si>
  <si>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</si>
  <si>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</si>
  <si>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</si>
  <si>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</si>
  <si>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</si>
  <si>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</si>
  <si>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</si>
  <si>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</si>
  <si>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</si>
  <si>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</si>
  <si>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</si>
  <si>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</si>
  <si>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</si>
  <si>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</si>
  <si>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</si>
  <si>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</si>
  <si>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</si>
  <si>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</si>
  <si>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</si>
  <si>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</si>
  <si>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</si>
  <si>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</si>
  <si>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</si>
  <si>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</si>
  <si>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</si>
  <si>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</si>
  <si>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</si>
  <si>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</si>
  <si>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</si>
  <si>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</si>
  <si>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</si>
  <si>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</si>
  <si>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</si>
  <si>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</si>
  <si>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</si>
  <si>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</si>
  <si>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</si>
  <si>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</si>
  <si>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</si>
  <si>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</si>
  <si>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</si>
  <si>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</si>
  <si>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</si>
  <si>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</si>
  <si>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</si>
  <si>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</si>
  <si>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</si>
  <si>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</si>
  <si>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</si>
  <si>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</si>
  <si>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</si>
  <si>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</si>
  <si>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</si>
  <si>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</si>
  <si>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</si>
  <si>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</si>
  <si>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</si>
  <si>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</si>
  <si>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</si>
  <si>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</si>
  <si>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</si>
  <si>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</si>
  <si>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</si>
  <si>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</si>
  <si>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</si>
  <si>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</si>
  <si>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</si>
  <si>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</si>
  <si>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</si>
  <si>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</si>
  <si>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</si>
  <si>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</si>
  <si>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</si>
  <si>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</si>
  <si>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</si>
  <si>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</si>
  <si>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</si>
  <si>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</si>
  <si>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</si>
  <si>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 Pune</t>
  </si>
  <si>
    <t>updated_city</t>
  </si>
  <si>
    <t>First_Name</t>
  </si>
  <si>
    <t>Last_Name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</si>
  <si>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</si>
  <si>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</si>
  <si>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</si>
  <si>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</si>
  <si>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</si>
  <si>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</si>
  <si>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</si>
  <si>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</si>
  <si>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Full_Name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</si>
  <si>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</si>
  <si>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</si>
  <si>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</si>
  <si>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</si>
  <si>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</si>
  <si>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</si>
  <si>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</si>
  <si>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</si>
  <si>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</si>
  <si>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</si>
  <si>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</si>
  <si>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</si>
  <si>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</si>
  <si>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</si>
  <si>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Contact_no</t>
  </si>
  <si>
    <t>91-8827472728</t>
  </si>
  <si>
    <t>91-8945652345</t>
  </si>
  <si>
    <t>91-9665623649</t>
  </si>
  <si>
    <t>91-9890256345</t>
  </si>
  <si>
    <t>onlyNumber</t>
  </si>
  <si>
    <t>Updated_Region</t>
  </si>
  <si>
    <t>West</t>
  </si>
  <si>
    <t>Departments</t>
  </si>
  <si>
    <t>Sales</t>
  </si>
  <si>
    <t>Accounts</t>
  </si>
  <si>
    <t>IT</t>
  </si>
  <si>
    <t>Finance</t>
  </si>
  <si>
    <t>custom lists</t>
  </si>
  <si>
    <t>Names</t>
  </si>
  <si>
    <t>Ketan</t>
  </si>
  <si>
    <t>Ankit</t>
  </si>
  <si>
    <t>Neha</t>
  </si>
  <si>
    <t xml:space="preserve">Pooja </t>
  </si>
  <si>
    <t>Ramesh</t>
  </si>
  <si>
    <t>Sunil</t>
  </si>
  <si>
    <t>Pooja</t>
  </si>
  <si>
    <t>Months</t>
  </si>
  <si>
    <t>March</t>
  </si>
  <si>
    <t>September</t>
  </si>
  <si>
    <t>October</t>
  </si>
  <si>
    <t>April</t>
  </si>
  <si>
    <t>August</t>
  </si>
  <si>
    <t>May</t>
  </si>
  <si>
    <t>January</t>
  </si>
  <si>
    <t>February</t>
  </si>
  <si>
    <t>June</t>
  </si>
  <si>
    <t>July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</si>
  <si>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</si>
  <si>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</si>
  <si>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</si>
  <si>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</si>
  <si>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</si>
  <si>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</si>
  <si>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</si>
  <si>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</si>
  <si>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</si>
  <si>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</si>
  <si>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</si>
  <si>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</si>
  <si>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Nagpur</t>
  </si>
  <si>
    <t>Wardha</t>
  </si>
  <si>
    <t>Status</t>
  </si>
  <si>
    <t>IF AND Statement</t>
  </si>
  <si>
    <t>Simple IF Statement</t>
  </si>
  <si>
    <t>Conditional Formatting</t>
  </si>
  <si>
    <t>A+</t>
  </si>
  <si>
    <t>A</t>
  </si>
  <si>
    <t>A++</t>
  </si>
  <si>
    <t>B</t>
  </si>
  <si>
    <t>Else</t>
  </si>
  <si>
    <t>Fail</t>
  </si>
  <si>
    <t>Rakesh</t>
  </si>
  <si>
    <t>Range</t>
  </si>
  <si>
    <t>Grades</t>
  </si>
  <si>
    <t>Salary Range</t>
  </si>
  <si>
    <t>Bonus</t>
  </si>
  <si>
    <t>&lt;50000</t>
  </si>
  <si>
    <t>No Bonus</t>
  </si>
  <si>
    <t>Bonus Amount</t>
  </si>
  <si>
    <t xml:space="preserve">Nested If </t>
  </si>
  <si>
    <t>Number-1</t>
  </si>
  <si>
    <t>Number-2</t>
  </si>
  <si>
    <t>Division</t>
  </si>
  <si>
    <t>Sales Category</t>
  </si>
  <si>
    <t xml:space="preserve">Discount </t>
  </si>
  <si>
    <t>Total Orders</t>
  </si>
  <si>
    <t>OrderID</t>
  </si>
  <si>
    <t>Find number of transaction having sales value  more than 4000</t>
  </si>
  <si>
    <t>Count Transaction Made by UPI</t>
  </si>
  <si>
    <t>Count Transaction Made by CARD</t>
  </si>
  <si>
    <t>Count Transaction Made by CASH</t>
  </si>
  <si>
    <t>Find number of transaction having sales value  more than 4000 in north region</t>
  </si>
  <si>
    <t>Find number of transaction having sales value  more than 4000 in South region</t>
  </si>
  <si>
    <t>Find number of transaction having sales value  more than 4000 in East region</t>
  </si>
  <si>
    <t>Find number of transaction having sales value  more than 4000 in West region</t>
  </si>
  <si>
    <t>Count of sales for customer type "member" and payment mode is upi or  card</t>
  </si>
  <si>
    <t>Orders</t>
  </si>
  <si>
    <t>Sumif</t>
  </si>
  <si>
    <t>Countif</t>
  </si>
  <si>
    <t>total sales for 2023</t>
  </si>
  <si>
    <t>Last 6 months sales</t>
  </si>
  <si>
    <t>sumif</t>
  </si>
  <si>
    <t>sumifs</t>
  </si>
  <si>
    <t>HR</t>
  </si>
  <si>
    <t>Department</t>
  </si>
  <si>
    <t>upi</t>
  </si>
  <si>
    <t>card</t>
  </si>
  <si>
    <t>Emp ID</t>
  </si>
  <si>
    <t>Data</t>
  </si>
  <si>
    <t>subtotal</t>
  </si>
  <si>
    <t>total sales</t>
  </si>
  <si>
    <t>total sales using subtotal</t>
  </si>
  <si>
    <t>sum(countifs)</t>
  </si>
  <si>
    <t>10%</t>
  </si>
  <si>
    <t>5%</t>
  </si>
  <si>
    <t>0</t>
  </si>
  <si>
    <t>15%</t>
  </si>
  <si>
    <t>EmpID</t>
  </si>
  <si>
    <t>Employee ID</t>
  </si>
  <si>
    <t>Match Function</t>
  </si>
  <si>
    <t>match fucntion column</t>
  </si>
  <si>
    <t>Using Vlookup</t>
  </si>
  <si>
    <t>Using Index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</si>
</sst>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6"/>
      <color theme="1"/>
      <name val="Aptos Narrow"/>
      <family val="2"/>
    </font>
    <font>
      <b/>
      <sz val="11"/>
      <color theme="1"/>
      <name val="Aptos Narrow"/>
      <family val="2"/>
    </font>
    <font>
      <b/>
      <sz val="12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1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0" fillId="0" borderId="0" xfId="1"/>
    <xf numFmtId="0" fontId="9" fillId="4" borderId="7" xfId="0" applyFont="1" applyFill="1" applyBorder="1" applyAlignment="1">
      <alignment horizontal="center"/>
    </xf>
    <xf numFmtId="0" fontId="4" fillId="0" borderId="0" xfId="0" applyFont="1"/>
    <xf numFmtId="0" fontId="11" fillId="0" borderId="0" xfId="0" applyFont="1"/>
    <xf numFmtId="0" fontId="11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9" fontId="0" fillId="0" borderId="0" xfId="0" applyNumberFormat="1"/>
    <xf numFmtId="0" fontId="0" fillId="0" borderId="9" xfId="0" applyBorder="1"/>
    <xf numFmtId="0" fontId="3" fillId="0" borderId="9" xfId="0" applyFont="1" applyBorder="1" applyAlignment="1">
      <alignment horizontal="center"/>
    </xf>
    <xf numFmtId="0" fontId="11" fillId="0" borderId="9" xfId="0" applyFont="1" applyBorder="1"/>
    <xf numFmtId="0" fontId="3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3" fillId="2" borderId="7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5" fillId="0" borderId="9" xfId="0" applyFont="1" applyBorder="1" applyAlignment="1">
      <alignment horizontal="center"/>
    </xf>
    <xf numFmtId="14" fontId="5" fillId="0" borderId="0" xfId="0" applyNumberFormat="1" applyFont="1"/>
    <xf numFmtId="0" fontId="2" fillId="0" borderId="0" xfId="0" applyFont="1"/>
    <xf numFmtId="0" fontId="2" fillId="0" borderId="9" xfId="0" applyFont="1" applyBorder="1"/>
    <xf numFmtId="0" fontId="4" fillId="0" borderId="9" xfId="0" applyFont="1" applyBorder="1"/>
    <xf numFmtId="0" fontId="14" fillId="0" borderId="0" xfId="0" applyFont="1"/>
    <xf numFmtId="0" fontId="11" fillId="0" borderId="0" xfId="0" applyFont="1" applyAlignment="1">
      <alignment horizontal="center"/>
    </xf>
    <xf numFmtId="0" fontId="15" fillId="0" borderId="0" xfId="0" applyFont="1"/>
    <xf numFmtId="0" fontId="5" fillId="0" borderId="9" xfId="0" applyFont="1" applyBorder="1"/>
    <xf numFmtId="0" fontId="5" fillId="5" borderId="9" xfId="0" applyFont="1" applyFill="1" applyBorder="1"/>
    <xf numFmtId="0" fontId="16" fillId="0" borderId="9" xfId="0" applyFont="1" applyBorder="1" applyAlignment="1">
      <alignment horizontal="center"/>
    </xf>
    <xf numFmtId="0" fontId="16" fillId="0" borderId="0" xfId="0" applyFont="1"/>
    <xf numFmtId="0" fontId="17" fillId="0" borderId="9" xfId="0" applyFont="1" applyBorder="1"/>
    <xf numFmtId="0" fontId="16" fillId="0" borderId="0" xfId="0" applyFont="1" applyAlignment="1">
      <alignment horizontal="center"/>
    </xf>
    <xf numFmtId="0" fontId="16" fillId="0" borderId="9" xfId="0" applyFont="1" applyBorder="1" applyAlignment="1">
      <alignment horizontal="center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" fillId="0" borderId="0" xfId="0" applyFont="1"/>
    <xf numFmtId="0" fontId="1" fillId="0" borderId="9" xfId="0" applyFont="1" applyBorder="1" applyAlignment="1">
      <alignment horizontal="center"/>
    </xf>
    <xf numFmtId="0" fontId="11" fillId="6" borderId="9" xfId="0" applyFon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/>
    </xf>
    <xf numFmtId="0" fontId="0" fillId="7" borderId="9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30480</xdr:colOff>
      <xdr:row>1</xdr:row>
      <xdr:rowOff>99060</xdr:rowOff>
    </xdr:from>
    <xdr:to>
      <xdr:col>3</xdr:col>
      <xdr:colOff>571500</xdr:colOff>
      <xdr:row>3</xdr:row>
      <xdr:rowOff>76200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4F084B32-ED50-0720-7596-AB7F9D9B36D4}"/>
            </a:ext>
          </a:extLst>
        </xdr:cNvPr>
        <xdr:cNvCxnSpPr/>
      </xdr:nvCxnSpPr>
      <xdr:spPr>
        <a:xfrm>
          <a:off x="640080" y="281940"/>
          <a:ext cx="2072640" cy="342900"/>
        </a:xfrm>
        <a:prstGeom prst="bentConnector3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312420</xdr:colOff>
      <xdr:row>2</xdr:row>
      <xdr:rowOff>114300</xdr:rowOff>
    </xdr:from>
    <xdr:to>
      <xdr:col>3</xdr:col>
      <xdr:colOff>60960</xdr:colOff>
      <xdr:row>10</xdr:row>
      <xdr:rowOff>15240</xdr:rowOff>
    </xdr:to>
    <xdr:cxnSp macro="">
      <xdr:nvCxnSpPr>
        <xdr:cNvPr id="7" name="Connector: Elbow 6">
          <a:extLst>
            <a:ext uri="{FF2B5EF4-FFF2-40B4-BE49-F238E27FC236}">
              <a16:creationId xmlns:a16="http://schemas.microsoft.com/office/drawing/2014/main" id="{535C679D-63CC-C463-AA4C-8464CD5B3F55}"/>
            </a:ext>
          </a:extLst>
        </xdr:cNvPr>
        <xdr:cNvCxnSpPr/>
      </xdr:nvCxnSpPr>
      <xdr:spPr>
        <a:xfrm rot="16200000" flipH="1">
          <a:off x="1253490" y="895350"/>
          <a:ext cx="1363980" cy="533400"/>
        </a:xfrm>
        <a:prstGeom prst="bentConnector3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38100</xdr:colOff>
      <xdr:row>13</xdr:row>
      <xdr:rowOff>22860</xdr:rowOff>
    </xdr:from>
    <xdr:to>
      <xdr:col>4</xdr:col>
      <xdr:colOff>91440</xdr:colOff>
      <xdr:row>13</xdr:row>
      <xdr:rowOff>30480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16DE2646-2B14-7B74-9757-6363A171996C}"/>
            </a:ext>
          </a:extLst>
        </xdr:cNvPr>
        <xdr:cNvCxnSpPr/>
      </xdr:nvCxnSpPr>
      <xdr:spPr>
        <a:xfrm>
          <a:off x="1394460" y="2400300"/>
          <a:ext cx="1508760" cy="762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830580</xdr:colOff>
      <xdr:row>10</xdr:row>
      <xdr:rowOff>83820</xdr:rowOff>
    </xdr:from>
    <xdr:to>
      <xdr:col>6</xdr:col>
      <xdr:colOff>99060</xdr:colOff>
      <xdr:row>19</xdr:row>
      <xdr:rowOff>76200</xdr:rowOff>
    </xdr:to>
    <xdr:sp macro="" textlink="">
      <xdr:nvSpPr>
        <xdr:cNvPr id="13" name="Right Brace 12">
          <a:extLst>
            <a:ext uri="{FF2B5EF4-FFF2-40B4-BE49-F238E27FC236}">
              <a16:creationId xmlns:a16="http://schemas.microsoft.com/office/drawing/2014/main" id="{AB5980E4-13B0-843A-4334-FB3D8520A84C}"/>
            </a:ext>
          </a:extLst>
        </xdr:cNvPr>
        <xdr:cNvSpPr/>
      </xdr:nvSpPr>
      <xdr:spPr>
        <a:xfrm>
          <a:off x="4251960" y="1912620"/>
          <a:ext cx="213360" cy="1638300"/>
        </a:xfrm>
        <a:prstGeom prst="righ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7018A1-30B4-4E1F-BB8D-3F408FCF56B4}" name="DMart_Sales_Data" displayName="DMart_Sales_Data" ref="A1:P499" totalsRowShown="0" headerRowDxfId="23" dataDxfId="22" tableBorderDxfId="21">
  <autoFilter ref="A1:P499" xr:uid="{E17018A1-30B4-4E1F-BB8D-3F408FCF56B4}"/>
  <tableColumns count="16">
    <tableColumn id="1" xr3:uid="{097F2057-1BD5-48F1-931F-E4401C805C56}" name="OrderID" dataDxfId="20"/>
    <tableColumn id="2" xr3:uid="{6AE4436A-01F3-4AA9-ACB7-244095DC54EF}" name="Region" dataDxfId="19"/>
    <tableColumn id="15" xr3:uid="{74318643-A868-4208-B4A1-428084884C27}" name="Updated_Region" dataDxfId="18"/>
    <tableColumn id="3" xr3:uid="{DFBE1467-998A-451C-8010-20864E6B4623}" name="Category" dataDxfId="17"/>
    <tableColumn id="4" xr3:uid="{28A91C58-CB02-4FE7-9D6D-4D8314985E34}" name="sales" dataDxfId="16"/>
    <tableColumn id="16" xr3:uid="{15B7B036-40C1-4045-83A8-22C56C2BF9A5}" name="Sales Category" dataDxfId="15">
      <calculatedColumnFormula>IF(DMart_Sales_Data[[#This Row],[sales]]&gt;3000,"High Sales",IF(DMart_Sales_Data[[#This Row],[sales]]&gt;1000,"Medium Sales","Low Sales"))</calculatedColumnFormula>
    </tableColumn>
    <tableColumn id="5" xr3:uid="{51F3CDC0-1345-4998-B302-EF7617264569}" name="discount" dataDxfId="14"/>
    <tableColumn id="6" xr3:uid="{8E29A5B1-86B3-4DA4-98D2-B108C4687D59}" name="quantity" dataDxfId="13"/>
    <tableColumn id="7" xr3:uid="{851D274F-AD48-4A3B-96C8-43B6F42BB59C}" name="order_date" dataDxfId="12"/>
    <tableColumn id="8" xr3:uid="{AF2726EB-8AE1-4446-9AC3-3BA6EA1307F0}" name="delivery_date" dataDxfId="11"/>
    <tableColumn id="9" xr3:uid="{7ABB3CD4-A13A-49CB-89D2-36344EA86737}" name="customer_type" dataDxfId="10"/>
    <tableColumn id="11" xr3:uid="{90876443-0D83-4CAB-8181-15F50DD98A4A}" name="payment_mode" dataDxfId="9"/>
    <tableColumn id="12" xr3:uid="{764F5F25-5D49-4C96-BE9D-30615B0A69A6}" name="profit" dataDxfId="8"/>
    <tableColumn id="14" xr3:uid="{2799E473-9DEB-4876-8711-6F819408D820}" name="updated_city" dataDxfId="7"/>
    <tableColumn id="13" xr3:uid="{FCB35956-44EE-4E95-9053-77F65881AAA7}" name="city" dataDxfId="6"/>
    <tableColumn id="17" xr3:uid="{FBC69EE9-73B8-4666-B43B-700F9412C4FB}" name="Discount " dataDxfId="5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zoomScale="122" zoomScaleNormal="147" workbookViewId="0">
      <selection activeCell="A16" sqref="A16"/>
    </sheetView>
  </sheetViews>
  <sheetFormatPr defaultColWidth="12.6640625" defaultRowHeight="15" customHeight="1" x14ac:dyDescent="0.3"/>
  <cols>
    <col min="1" max="1" width="12.88671875" bestFit="1" customWidth="1"/>
    <col min="2" max="2" width="11.44140625" customWidth="1"/>
    <col min="3" max="3" width="19.109375" bestFit="1" customWidth="1"/>
    <col min="4" max="4" width="9.6640625" customWidth="1"/>
    <col min="5" max="5" width="9.21875" customWidth="1"/>
    <col min="6" max="6" width="15.33203125" bestFit="1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3" width="11.33203125" customWidth="1"/>
    <col min="14" max="14" width="15" customWidth="1"/>
    <col min="15" max="15" width="11.33203125" bestFit="1" customWidth="1"/>
    <col min="16" max="16" width="8.6640625" customWidth="1"/>
    <col min="17" max="17" width="2.33203125" customWidth="1"/>
    <col min="18" max="18" width="10.21875" customWidth="1"/>
    <col min="19" max="19" width="8.6640625" customWidth="1"/>
    <col min="20" max="20" width="30.77734375" customWidth="1"/>
    <col min="21" max="21" width="14.44140625" customWidth="1"/>
    <col min="22" max="24" width="8.6640625" customWidth="1"/>
    <col min="25" max="25" width="24.44140625" bestFit="1" customWidth="1"/>
  </cols>
  <sheetData>
    <row r="1" spans="1:27" ht="14.25" customHeight="1" x14ac:dyDescent="0.3">
      <c r="A1" s="19" t="s">
        <v>641</v>
      </c>
      <c r="B1" s="20" t="s">
        <v>0</v>
      </c>
      <c r="C1" s="20" t="s">
        <v>575</v>
      </c>
      <c r="D1" s="20" t="s">
        <v>1</v>
      </c>
      <c r="E1" s="20" t="s">
        <v>2</v>
      </c>
      <c r="F1" s="40" t="s">
        <v>638</v>
      </c>
      <c r="G1" s="21" t="s">
        <v>3</v>
      </c>
      <c r="H1" s="24" t="s">
        <v>4</v>
      </c>
      <c r="I1" s="21" t="s">
        <v>5</v>
      </c>
      <c r="J1" s="21" t="s">
        <v>6</v>
      </c>
      <c r="K1" s="21" t="s">
        <v>7</v>
      </c>
      <c r="L1" s="21" t="s">
        <v>8</v>
      </c>
      <c r="M1" s="21" t="s">
        <v>9</v>
      </c>
      <c r="N1" s="21" t="s">
        <v>543</v>
      </c>
      <c r="O1" s="22" t="s">
        <v>10</v>
      </c>
      <c r="P1" s="41" t="s">
        <v>639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11</v>
      </c>
      <c r="B2" s="4" t="s">
        <v>12</v>
      </c>
      <c r="C2" s="14" t="s">
        <v>12</v>
      </c>
      <c r="D2" s="5" t="s">
        <v>13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17</v>
      </c>
      <c r="B3" s="9" t="s">
        <v>18</v>
      </c>
      <c r="C3" s="9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10">
        <v>971.41</v>
      </c>
      <c r="N3" s="10" t="s">
        <v>79</v>
      </c>
      <c r="O3" s="12" t="s">
        <v>22</v>
      </c>
      <c r="P3" s="2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15">
        <v>769.08</v>
      </c>
      <c r="N4" s="15" t="s">
        <v>27</v>
      </c>
      <c r="O4" s="17" t="s">
        <v>542</v>
      </c>
      <c r="P4" s="2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35</v>
      </c>
      <c r="O5" s="18" t="s">
        <v>30</v>
      </c>
      <c r="P5" s="2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31</v>
      </c>
      <c r="B6" s="14" t="s">
        <v>12</v>
      </c>
      <c r="C6" s="14" t="s">
        <v>12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15">
        <v>621.91999999999996</v>
      </c>
      <c r="N6" s="10" t="s">
        <v>16</v>
      </c>
      <c r="O6" s="17" t="s">
        <v>16</v>
      </c>
      <c r="P6" s="2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33</v>
      </c>
      <c r="B7" s="9" t="s">
        <v>18</v>
      </c>
      <c r="C7" s="9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35</v>
      </c>
      <c r="O7" s="12" t="s">
        <v>35</v>
      </c>
      <c r="P7" s="2" t="str">
        <f>IF(AND(DMart_Sales_Data[[#This Row],[customer_type]]="Member",OR(DMart_Sales_Data[[#This Row],[payment_mode]]="UPI",DMart_Sales_Data[[#This Row],[payment_mode]]="Card")),"Yes","No")</f>
        <v>Yes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15">
        <v>110.31</v>
      </c>
      <c r="N8" s="10" t="s">
        <v>16</v>
      </c>
      <c r="O8" s="17" t="s">
        <v>16</v>
      </c>
      <c r="P8" s="2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15</v>
      </c>
      <c r="M9" s="10">
        <v>91.68</v>
      </c>
      <c r="N9" s="10" t="s">
        <v>27</v>
      </c>
      <c r="O9" s="12" t="s">
        <v>39</v>
      </c>
      <c r="P9" s="2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40</v>
      </c>
      <c r="B10" s="14" t="s">
        <v>12</v>
      </c>
      <c r="C10" s="14" t="s">
        <v>12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15">
        <v>995.78</v>
      </c>
      <c r="N10" s="10" t="s">
        <v>41</v>
      </c>
      <c r="O10" s="17" t="s">
        <v>41</v>
      </c>
      <c r="P10" s="2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42</v>
      </c>
      <c r="B11" s="9" t="s">
        <v>18</v>
      </c>
      <c r="C11" s="9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10">
        <v>102.96</v>
      </c>
      <c r="N11" s="10" t="s">
        <v>79</v>
      </c>
      <c r="O11" s="12" t="s">
        <v>22</v>
      </c>
      <c r="P11" s="2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58" t="s">
        <v>640</v>
      </c>
      <c r="S11" s="58"/>
      <c r="T11" s="58"/>
      <c r="U11" s="1">
        <f>COUNT(E2:E498)</f>
        <v>497</v>
      </c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43</v>
      </c>
      <c r="B12" s="14" t="s">
        <v>24</v>
      </c>
      <c r="C12" s="14" t="s">
        <v>24</v>
      </c>
      <c r="D12" s="15" t="s">
        <v>13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15">
        <v>542.82000000000005</v>
      </c>
      <c r="N12" s="10" t="s">
        <v>41</v>
      </c>
      <c r="O12" s="17" t="s">
        <v>44</v>
      </c>
      <c r="P12" s="2" t="str">
        <f>IF(AND(DMart_Sales_Data[[#This Row],[customer_type]]="Member",OR(DMart_Sales_Data[[#This Row],[payment_mode]]="UPI",DMart_Sales_Data[[#This Row],[payment_mode]]="Card")),"Yes","No")</f>
        <v>No</v>
      </c>
      <c r="R12" s="59" t="s">
        <v>643</v>
      </c>
      <c r="S12" s="59"/>
      <c r="T12" s="59"/>
      <c r="U12" s="1">
        <f>COUNTIF(DMart_Sales_Data[payment_mode],"UPI")</f>
        <v>149</v>
      </c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45</v>
      </c>
      <c r="B13" s="9" t="s">
        <v>29</v>
      </c>
      <c r="C13" s="9" t="s">
        <v>29</v>
      </c>
      <c r="D13" s="10" t="s">
        <v>13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15</v>
      </c>
      <c r="M13" s="10">
        <v>1028.47</v>
      </c>
      <c r="N13" s="10" t="s">
        <v>41</v>
      </c>
      <c r="O13" s="12" t="s">
        <v>41</v>
      </c>
      <c r="P13" s="2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59" t="s">
        <v>644</v>
      </c>
      <c r="S13" s="59"/>
      <c r="T13" s="59"/>
      <c r="U13" s="1">
        <f>COUNTIF(DMart_Sales_Data[payment_mode],"Card")</f>
        <v>164</v>
      </c>
      <c r="V13" s="1"/>
      <c r="W13" s="56" t="s">
        <v>650</v>
      </c>
      <c r="X13" s="56"/>
      <c r="Y13" s="56"/>
      <c r="Z13" s="56"/>
      <c r="AA13" s="56"/>
    </row>
    <row r="14" spans="1:27" ht="14.25" customHeight="1" x14ac:dyDescent="0.3">
      <c r="A14" s="13" t="s">
        <v>46</v>
      </c>
      <c r="B14" s="14" t="s">
        <v>12</v>
      </c>
      <c r="C14" s="14" t="s">
        <v>12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15">
        <v>131.5</v>
      </c>
      <c r="N14" s="10" t="s">
        <v>35</v>
      </c>
      <c r="O14" s="17" t="s">
        <v>30</v>
      </c>
      <c r="P14" s="2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59" t="s">
        <v>645</v>
      </c>
      <c r="S14" s="59"/>
      <c r="T14" s="59"/>
      <c r="U14" s="1">
        <f>COUNTIF(DMart_Sales_Data[payment_mode],"Cash")</f>
        <v>185</v>
      </c>
      <c r="V14" s="1"/>
      <c r="W14" s="35" cm="1">
        <f t="array" ref="W14">COUNTIFS(Customertype,"Member",PaymentMode,"UPI")</f>
        <v>50</v>
      </c>
      <c r="X14" s="50" cm="1">
        <f t="array" ref="X14">COUNTIFS(Customertype,"Member",PaymentMode,"Card")</f>
        <v>47</v>
      </c>
      <c r="Y14" s="51" cm="1">
        <f t="array" ref="Y14">SUM(COUNTIFS(PaymentMode,{"UPI","Card"},Customertype,"Member"))</f>
        <v>97</v>
      </c>
      <c r="Z14" s="51" t="s">
        <v>667</v>
      </c>
      <c r="AA14" s="50"/>
    </row>
    <row r="15" spans="1:27" ht="14.25" customHeight="1" x14ac:dyDescent="0.3">
      <c r="A15" s="8" t="s">
        <v>47</v>
      </c>
      <c r="B15" s="9" t="s">
        <v>18</v>
      </c>
      <c r="C15" s="9" t="s">
        <v>576</v>
      </c>
      <c r="D15" s="10" t="s">
        <v>13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26</v>
      </c>
      <c r="M15" s="10">
        <v>255.49</v>
      </c>
      <c r="N15" s="10" t="s">
        <v>27</v>
      </c>
      <c r="O15" s="12" t="s">
        <v>48</v>
      </c>
      <c r="P15" s="2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58"/>
      <c r="S15" s="58"/>
      <c r="T15" s="58"/>
      <c r="U15" s="1"/>
      <c r="V15" s="1"/>
      <c r="W15" s="44" t="s">
        <v>660</v>
      </c>
      <c r="X15" s="47" t="s">
        <v>661</v>
      </c>
      <c r="Y15" s="1"/>
      <c r="Z15" s="1"/>
      <c r="AA15" s="1"/>
    </row>
    <row r="16" spans="1:27" ht="14.25" customHeight="1" x14ac:dyDescent="0.3">
      <c r="A16" s="13" t="s">
        <v>49</v>
      </c>
      <c r="B16" s="14" t="s">
        <v>24</v>
      </c>
      <c r="C16" s="14" t="s">
        <v>24</v>
      </c>
      <c r="D16" s="15" t="s">
        <v>13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15</v>
      </c>
      <c r="M16" s="15">
        <v>804.36</v>
      </c>
      <c r="N16" s="10" t="s">
        <v>27</v>
      </c>
      <c r="O16" s="17" t="s">
        <v>39</v>
      </c>
      <c r="P16" s="2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57" t="s">
        <v>642</v>
      </c>
      <c r="S16" s="57"/>
      <c r="T16" s="57"/>
      <c r="U16" s="1">
        <f>COUNTIF(DMart_Sales_Data[sales],"&gt;4000")</f>
        <v>115</v>
      </c>
      <c r="V16" s="1"/>
      <c r="X16" s="1"/>
      <c r="Y16" s="1"/>
      <c r="Z16" s="1"/>
      <c r="AA16" s="1"/>
    </row>
    <row r="17" spans="1:27" ht="14.25" customHeight="1" x14ac:dyDescent="0.3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21</v>
      </c>
      <c r="M17" s="10">
        <v>284.91000000000003</v>
      </c>
      <c r="N17" s="10" t="s">
        <v>41</v>
      </c>
      <c r="O17" s="12" t="s">
        <v>41</v>
      </c>
      <c r="P17" s="2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57"/>
      <c r="S17" s="57"/>
      <c r="T17" s="57"/>
      <c r="U17" s="1"/>
      <c r="V17" s="1"/>
      <c r="W17" s="52" t="s">
        <v>0</v>
      </c>
      <c r="X17" s="52" t="s">
        <v>578</v>
      </c>
      <c r="Y17" s="52" t="s">
        <v>651</v>
      </c>
      <c r="Z17" s="1"/>
      <c r="AA17" s="1"/>
    </row>
    <row r="18" spans="1:27" ht="14.25" customHeight="1" x14ac:dyDescent="0.3">
      <c r="A18" s="13" t="s">
        <v>51</v>
      </c>
      <c r="B18" s="14" t="s">
        <v>12</v>
      </c>
      <c r="C18" s="14" t="s">
        <v>12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21</v>
      </c>
      <c r="M18" s="15">
        <v>504.83</v>
      </c>
      <c r="N18" s="10" t="s">
        <v>16</v>
      </c>
      <c r="O18" s="17" t="s">
        <v>52</v>
      </c>
      <c r="P18" s="2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57" t="s">
        <v>646</v>
      </c>
      <c r="S18" s="57"/>
      <c r="T18" s="57"/>
      <c r="U18" s="1">
        <f>COUNTIFS(DMart_Sales_Data[sales],"&gt;4000",DMart_Sales_Data[Updated_Region],"North")</f>
        <v>32</v>
      </c>
      <c r="V18" s="1"/>
      <c r="W18" s="42" t="s">
        <v>24</v>
      </c>
      <c r="X18" s="42" cm="1">
        <f t="array" ref="X18">SUMIF(region,"North",Sales)</f>
        <v>334964.16000000003</v>
      </c>
      <c r="Y18" s="42" cm="1">
        <f t="array" ref="Y18">COUNTIF(region,"North")</f>
        <v>124</v>
      </c>
      <c r="Z18" s="1"/>
      <c r="AA18" s="1"/>
    </row>
    <row r="19" spans="1:27" ht="14.25" customHeight="1" x14ac:dyDescent="0.3">
      <c r="A19" s="8" t="s">
        <v>53</v>
      </c>
      <c r="B19" s="9" t="s">
        <v>18</v>
      </c>
      <c r="C19" s="9" t="s">
        <v>576</v>
      </c>
      <c r="D19" s="10" t="s">
        <v>13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10">
        <v>978.07</v>
      </c>
      <c r="N19" s="10" t="s">
        <v>41</v>
      </c>
      <c r="O19" s="12" t="s">
        <v>44</v>
      </c>
      <c r="P19" s="2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57"/>
      <c r="S19" s="57"/>
      <c r="T19" s="57"/>
      <c r="U19" s="1"/>
      <c r="V19" s="1"/>
      <c r="W19" s="42" t="s">
        <v>29</v>
      </c>
      <c r="X19" s="42" cm="1">
        <f t="array" ref="X19">SUMIF(region,"South",Sales)</f>
        <v>303623.68999999994</v>
      </c>
      <c r="Y19" s="42" cm="1">
        <f t="array" ref="Y19">COUNTIF(region,"South")</f>
        <v>124</v>
      </c>
      <c r="Z19" s="1"/>
      <c r="AA19" s="1"/>
    </row>
    <row r="20" spans="1:27" ht="14.25" customHeight="1" x14ac:dyDescent="0.3">
      <c r="A20" s="13" t="s">
        <v>54</v>
      </c>
      <c r="B20" s="14" t="s">
        <v>24</v>
      </c>
      <c r="C20" s="14" t="s">
        <v>24</v>
      </c>
      <c r="D20" s="15" t="s">
        <v>13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0" t="s">
        <v>79</v>
      </c>
      <c r="O20" s="17" t="s">
        <v>55</v>
      </c>
      <c r="P20" s="2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57" t="s">
        <v>647</v>
      </c>
      <c r="S20" s="57"/>
      <c r="T20" s="57"/>
      <c r="U20" s="1">
        <f>COUNTIFS(DMart_Sales_Data[sales],"&gt;4000",DMart_Sales_Data[Updated_Region],"South")</f>
        <v>27</v>
      </c>
      <c r="V20" s="1"/>
      <c r="W20" s="42" t="s">
        <v>12</v>
      </c>
      <c r="X20" s="42" cm="1">
        <f t="array" ref="X20">SUMIF(region,"East",Sales)</f>
        <v>337881.26999999996</v>
      </c>
      <c r="Y20" s="42" cm="1">
        <f t="array" ref="Y20">COUNTIF(region,"East")</f>
        <v>125</v>
      </c>
      <c r="Z20" s="1"/>
      <c r="AA20" s="1"/>
    </row>
    <row r="21" spans="1:27" ht="14.25" customHeight="1" x14ac:dyDescent="0.3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10">
        <v>727.29</v>
      </c>
      <c r="N21" s="10" t="s">
        <v>27</v>
      </c>
      <c r="O21" s="12" t="s">
        <v>39</v>
      </c>
      <c r="P21" s="2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57"/>
      <c r="S21" s="57"/>
      <c r="T21" s="57"/>
      <c r="U21" s="1"/>
      <c r="V21" s="1"/>
      <c r="W21" s="42" t="s">
        <v>576</v>
      </c>
      <c r="X21" s="42" cm="1">
        <f t="array" ref="X21">SUMIF(region,"West",Sales)</f>
        <v>346200.06999999983</v>
      </c>
      <c r="Y21" s="42" cm="1">
        <f t="array" ref="Y21">COUNTIF(region,"West")</f>
        <v>125</v>
      </c>
      <c r="Z21" s="1"/>
      <c r="AA21" s="1"/>
    </row>
    <row r="22" spans="1:27" ht="14.25" customHeight="1" x14ac:dyDescent="0.3">
      <c r="A22" s="13" t="s">
        <v>57</v>
      </c>
      <c r="B22" s="14" t="s">
        <v>12</v>
      </c>
      <c r="C22" s="14" t="s">
        <v>12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15">
        <v>798.81</v>
      </c>
      <c r="N22" s="10" t="s">
        <v>35</v>
      </c>
      <c r="O22" s="17" t="s">
        <v>58</v>
      </c>
      <c r="P22" s="2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57" t="s">
        <v>648</v>
      </c>
      <c r="S22" s="57"/>
      <c r="T22" s="57"/>
      <c r="U22" s="1">
        <f>COUNTIFS(DMart_Sales_Data[sales],"&gt;4000",DMart_Sales_Data[Updated_Region],"East")</f>
        <v>29</v>
      </c>
      <c r="V22" s="1"/>
      <c r="W22" s="1"/>
      <c r="X22" s="54" t="s">
        <v>652</v>
      </c>
      <c r="Y22" s="54" t="s">
        <v>653</v>
      </c>
      <c r="Z22" s="1"/>
      <c r="AA22" s="1"/>
    </row>
    <row r="23" spans="1:27" ht="14.25" customHeight="1" x14ac:dyDescent="0.3">
      <c r="A23" s="8" t="s">
        <v>59</v>
      </c>
      <c r="B23" s="9" t="s">
        <v>18</v>
      </c>
      <c r="C23" s="9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26</v>
      </c>
      <c r="M23" s="10">
        <v>920.22</v>
      </c>
      <c r="N23" s="10" t="s">
        <v>27</v>
      </c>
      <c r="O23" s="12" t="s">
        <v>39</v>
      </c>
      <c r="P23" s="2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57"/>
      <c r="S23" s="57"/>
      <c r="T23" s="57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15">
        <v>931.37</v>
      </c>
      <c r="N24" s="10" t="s">
        <v>41</v>
      </c>
      <c r="O24" s="17" t="s">
        <v>41</v>
      </c>
      <c r="P24" s="2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57" t="s">
        <v>649</v>
      </c>
      <c r="S24" s="57"/>
      <c r="T24" s="57"/>
      <c r="U24" s="1">
        <f>COUNTIFS(DMart_Sales_Data[sales],"&gt;4000",DMart_Sales_Data[Updated_Region],"West")</f>
        <v>27</v>
      </c>
      <c r="V24" s="53"/>
      <c r="W24" s="55" t="s">
        <v>654</v>
      </c>
      <c r="X24" s="1"/>
      <c r="Y24" s="1" cm="1">
        <f t="array" ref="Y24">SUMIF(Orderdate,"&lt;2024-01-01",Sales)</f>
        <v>654586.69000000018</v>
      </c>
      <c r="Z24" s="1" t="s">
        <v>652</v>
      </c>
      <c r="AA24" s="1"/>
    </row>
    <row r="25" spans="1:27" ht="14.25" customHeight="1" x14ac:dyDescent="0.3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10">
        <v>375.7</v>
      </c>
      <c r="N25" s="10" t="s">
        <v>35</v>
      </c>
      <c r="O25" s="12" t="s">
        <v>35</v>
      </c>
      <c r="P25" s="2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57"/>
      <c r="S25" s="57"/>
      <c r="T25" s="57"/>
      <c r="U25" s="1"/>
      <c r="V25" s="53"/>
      <c r="W25" s="26"/>
      <c r="X25" s="1"/>
      <c r="Y25" s="43">
        <f>MAX(Orderdate)</f>
        <v>45657</v>
      </c>
      <c r="Z25" s="1"/>
      <c r="AA25" s="1"/>
    </row>
    <row r="26" spans="1:27" ht="14.25" customHeight="1" x14ac:dyDescent="0.3">
      <c r="A26" s="13" t="s">
        <v>62</v>
      </c>
      <c r="B26" s="14" t="s">
        <v>12</v>
      </c>
      <c r="C26" s="14" t="s">
        <v>12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15">
        <v>1072.26</v>
      </c>
      <c r="N26" s="10" t="s">
        <v>100</v>
      </c>
      <c r="O26" s="17" t="s">
        <v>63</v>
      </c>
      <c r="P26" s="2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1"/>
      <c r="S26" s="1"/>
      <c r="T26" s="1"/>
      <c r="U26" s="1"/>
      <c r="V26" s="53"/>
      <c r="W26" s="55" t="s">
        <v>655</v>
      </c>
      <c r="X26" s="1"/>
      <c r="Y26" s="1" cm="1">
        <f t="array" ref="Y26">SUMIF(Orderdate,"&gt;=2024-07-01",Sales)</f>
        <v>368049.34999999992</v>
      </c>
      <c r="Z26" s="1" t="s">
        <v>656</v>
      </c>
      <c r="AA26" s="1"/>
    </row>
    <row r="27" spans="1:27" ht="14.25" customHeight="1" x14ac:dyDescent="0.3">
      <c r="A27" s="8" t="s">
        <v>64</v>
      </c>
      <c r="B27" s="9" t="s">
        <v>18</v>
      </c>
      <c r="C27" s="9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10">
        <v>526.66</v>
      </c>
      <c r="N27" s="10" t="s">
        <v>100</v>
      </c>
      <c r="O27" s="12" t="s">
        <v>65</v>
      </c>
      <c r="P27" s="2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  <c r="Y27" s="1" cm="1">
        <f t="array" ref="Y27">SUMIFS(Sales,Orderdate,"&gt;=2024-07-01",Orderdate,"&lt;=2024-12-31")</f>
        <v>368049.34999999992</v>
      </c>
      <c r="Z27" s="1" t="s">
        <v>657</v>
      </c>
      <c r="AA27" s="1"/>
    </row>
    <row r="28" spans="1:27" ht="14.25" customHeight="1" x14ac:dyDescent="0.3">
      <c r="A28" s="13" t="s">
        <v>66</v>
      </c>
      <c r="B28" s="14" t="s">
        <v>24</v>
      </c>
      <c r="C28" s="14" t="s">
        <v>24</v>
      </c>
      <c r="D28" s="15" t="s">
        <v>13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0" t="s">
        <v>35</v>
      </c>
      <c r="O28" s="17" t="s">
        <v>58</v>
      </c>
      <c r="P28" s="2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67</v>
      </c>
      <c r="B29" s="9" t="s">
        <v>29</v>
      </c>
      <c r="C29" s="9" t="s">
        <v>29</v>
      </c>
      <c r="D29" s="10" t="s">
        <v>13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10">
        <v>689.74</v>
      </c>
      <c r="N29" s="10" t="s">
        <v>41</v>
      </c>
      <c r="O29" s="12" t="s">
        <v>68</v>
      </c>
      <c r="P29" s="2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69</v>
      </c>
      <c r="B30" s="14" t="s">
        <v>12</v>
      </c>
      <c r="C30" s="14" t="s">
        <v>12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0" t="s">
        <v>41</v>
      </c>
      <c r="O30" s="17" t="s">
        <v>41</v>
      </c>
      <c r="P30" s="2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70</v>
      </c>
      <c r="B31" s="9" t="s">
        <v>18</v>
      </c>
      <c r="C31" s="9" t="s">
        <v>576</v>
      </c>
      <c r="D31" s="10" t="s">
        <v>13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10">
        <v>422.33</v>
      </c>
      <c r="N31" s="10" t="s">
        <v>35</v>
      </c>
      <c r="O31" s="12" t="s">
        <v>35</v>
      </c>
      <c r="P31" s="2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1"/>
      <c r="S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15">
        <v>123.49</v>
      </c>
      <c r="N32" s="10" t="s">
        <v>41</v>
      </c>
      <c r="O32" s="17" t="s">
        <v>68</v>
      </c>
      <c r="P32" s="2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10">
        <v>697.03</v>
      </c>
      <c r="N33" s="10" t="s">
        <v>16</v>
      </c>
      <c r="O33" s="12" t="s">
        <v>16</v>
      </c>
      <c r="P33" s="2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73</v>
      </c>
      <c r="B34" s="14" t="s">
        <v>12</v>
      </c>
      <c r="C34" s="14" t="s">
        <v>12</v>
      </c>
      <c r="D34" s="15" t="s">
        <v>13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15">
        <v>178.58</v>
      </c>
      <c r="N34" s="10" t="s">
        <v>79</v>
      </c>
      <c r="O34" s="17" t="s">
        <v>55</v>
      </c>
      <c r="P34" s="2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74</v>
      </c>
      <c r="B35" s="9" t="s">
        <v>18</v>
      </c>
      <c r="C35" s="9" t="s">
        <v>576</v>
      </c>
      <c r="D35" s="10" t="s">
        <v>13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15</v>
      </c>
      <c r="M35" s="10">
        <v>1002.97</v>
      </c>
      <c r="N35" s="10" t="s">
        <v>27</v>
      </c>
      <c r="O35" s="12" t="s">
        <v>27</v>
      </c>
      <c r="P35" s="2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15">
        <v>320.43</v>
      </c>
      <c r="N36" s="10" t="s">
        <v>16</v>
      </c>
      <c r="O36" s="17" t="s">
        <v>16</v>
      </c>
      <c r="P36" s="2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15</v>
      </c>
      <c r="M37" s="10">
        <v>177.84</v>
      </c>
      <c r="N37" s="10" t="s">
        <v>79</v>
      </c>
      <c r="O37" s="12" t="s">
        <v>55</v>
      </c>
      <c r="P37" s="2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77</v>
      </c>
      <c r="B38" s="14" t="s">
        <v>12</v>
      </c>
      <c r="C38" s="14" t="s">
        <v>12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15">
        <v>528.38</v>
      </c>
      <c r="N38" s="10" t="s">
        <v>16</v>
      </c>
      <c r="O38" s="17" t="s">
        <v>16</v>
      </c>
      <c r="P38" s="2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78</v>
      </c>
      <c r="B39" s="9" t="s">
        <v>18</v>
      </c>
      <c r="C39" s="9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26</v>
      </c>
      <c r="M39" s="10">
        <v>586.69000000000005</v>
      </c>
      <c r="N39" s="10" t="s">
        <v>79</v>
      </c>
      <c r="O39" s="12" t="s">
        <v>79</v>
      </c>
      <c r="P39" s="2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15</v>
      </c>
      <c r="M40" s="15">
        <v>742.22</v>
      </c>
      <c r="N40" s="10" t="s">
        <v>35</v>
      </c>
      <c r="O40" s="17" t="s">
        <v>35</v>
      </c>
      <c r="P40" s="2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21</v>
      </c>
      <c r="M41" s="10">
        <v>119.91</v>
      </c>
      <c r="N41" s="10" t="s">
        <v>27</v>
      </c>
      <c r="O41" s="12" t="s">
        <v>39</v>
      </c>
      <c r="P41" s="2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82</v>
      </c>
      <c r="B42" s="14" t="s">
        <v>12</v>
      </c>
      <c r="C42" s="14" t="s">
        <v>12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15">
        <v>392.57</v>
      </c>
      <c r="N42" s="10" t="s">
        <v>79</v>
      </c>
      <c r="O42" s="17" t="s">
        <v>79</v>
      </c>
      <c r="P42" s="2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83</v>
      </c>
      <c r="B43" s="9" t="s">
        <v>18</v>
      </c>
      <c r="C43" s="9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21</v>
      </c>
      <c r="M43" s="10">
        <v>765.08</v>
      </c>
      <c r="N43" s="10" t="s">
        <v>41</v>
      </c>
      <c r="O43" s="12" t="s">
        <v>68</v>
      </c>
      <c r="P43" s="2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15">
        <v>48.54</v>
      </c>
      <c r="N44" s="10" t="s">
        <v>41</v>
      </c>
      <c r="O44" s="17" t="s">
        <v>68</v>
      </c>
      <c r="P44" s="2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85</v>
      </c>
      <c r="B45" s="9" t="s">
        <v>29</v>
      </c>
      <c r="C45" s="9" t="s">
        <v>29</v>
      </c>
      <c r="D45" s="10" t="s">
        <v>13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26</v>
      </c>
      <c r="M45" s="10">
        <v>235.05</v>
      </c>
      <c r="N45" s="10" t="s">
        <v>41</v>
      </c>
      <c r="O45" s="12" t="s">
        <v>41</v>
      </c>
      <c r="P45" s="2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86</v>
      </c>
      <c r="B46" s="14" t="s">
        <v>12</v>
      </c>
      <c r="C46" s="14" t="s">
        <v>12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15">
        <v>129.80000000000001</v>
      </c>
      <c r="N46" s="10" t="s">
        <v>41</v>
      </c>
      <c r="O46" s="17" t="s">
        <v>41</v>
      </c>
      <c r="P46" s="2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87</v>
      </c>
      <c r="B47" s="9" t="s">
        <v>18</v>
      </c>
      <c r="C47" s="9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10">
        <v>588.79</v>
      </c>
      <c r="N47" s="10" t="s">
        <v>16</v>
      </c>
      <c r="O47" s="12" t="s">
        <v>16</v>
      </c>
      <c r="P47" s="2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88</v>
      </c>
      <c r="B48" s="14" t="s">
        <v>24</v>
      </c>
      <c r="C48" s="14" t="s">
        <v>24</v>
      </c>
      <c r="D48" s="15" t="s">
        <v>13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21</v>
      </c>
      <c r="M48" s="15">
        <v>127.89</v>
      </c>
      <c r="N48" s="10" t="s">
        <v>16</v>
      </c>
      <c r="O48" s="17" t="s">
        <v>52</v>
      </c>
      <c r="P48" s="2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10">
        <v>249.34</v>
      </c>
      <c r="N49" s="10" t="s">
        <v>35</v>
      </c>
      <c r="O49" s="12" t="s">
        <v>30</v>
      </c>
      <c r="P49" s="2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90</v>
      </c>
      <c r="B50" s="14" t="s">
        <v>12</v>
      </c>
      <c r="C50" s="14" t="s">
        <v>12</v>
      </c>
      <c r="D50" s="15" t="s">
        <v>13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15">
        <v>1097.26</v>
      </c>
      <c r="N50" s="10" t="s">
        <v>35</v>
      </c>
      <c r="O50" s="17" t="s">
        <v>58</v>
      </c>
      <c r="P50" s="2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91</v>
      </c>
      <c r="B51" s="9" t="s">
        <v>18</v>
      </c>
      <c r="C51" s="9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26</v>
      </c>
      <c r="M51" s="10">
        <v>1139.21</v>
      </c>
      <c r="N51" s="10" t="s">
        <v>27</v>
      </c>
      <c r="O51" s="12" t="s">
        <v>39</v>
      </c>
      <c r="P51" s="2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0" t="s">
        <v>27</v>
      </c>
      <c r="O52" s="17" t="s">
        <v>27</v>
      </c>
      <c r="P52" s="2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10">
        <v>687.58</v>
      </c>
      <c r="N53" s="10" t="s">
        <v>79</v>
      </c>
      <c r="O53" s="12" t="s">
        <v>22</v>
      </c>
      <c r="P53" s="2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94</v>
      </c>
      <c r="B54" s="14" t="s">
        <v>12</v>
      </c>
      <c r="C54" s="14" t="s">
        <v>12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26</v>
      </c>
      <c r="M54" s="15">
        <v>114.25</v>
      </c>
      <c r="N54" s="10" t="s">
        <v>16</v>
      </c>
      <c r="O54" s="17" t="s">
        <v>95</v>
      </c>
      <c r="P54" s="2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96</v>
      </c>
      <c r="B55" s="9" t="s">
        <v>18</v>
      </c>
      <c r="C55" s="9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15</v>
      </c>
      <c r="M55" s="10">
        <v>20.43</v>
      </c>
      <c r="N55" s="10" t="s">
        <v>27</v>
      </c>
      <c r="O55" s="12" t="s">
        <v>39</v>
      </c>
      <c r="P55" s="2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0" t="s">
        <v>41</v>
      </c>
      <c r="O56" s="17" t="s">
        <v>41</v>
      </c>
      <c r="P56" s="2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98</v>
      </c>
      <c r="B57" s="9" t="s">
        <v>29</v>
      </c>
      <c r="C57" s="9" t="s">
        <v>29</v>
      </c>
      <c r="D57" s="10" t="s">
        <v>13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10">
        <v>278.48</v>
      </c>
      <c r="N57" s="10" t="s">
        <v>35</v>
      </c>
      <c r="O57" s="12" t="s">
        <v>35</v>
      </c>
      <c r="P57" s="2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99</v>
      </c>
      <c r="B58" s="14" t="s">
        <v>12</v>
      </c>
      <c r="C58" s="14" t="s">
        <v>12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26</v>
      </c>
      <c r="M58" s="15">
        <v>356.81</v>
      </c>
      <c r="N58" s="10" t="s">
        <v>100</v>
      </c>
      <c r="O58" s="17" t="s">
        <v>100</v>
      </c>
      <c r="P58" s="2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101</v>
      </c>
      <c r="B59" s="9" t="s">
        <v>18</v>
      </c>
      <c r="C59" s="9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10">
        <v>581.75</v>
      </c>
      <c r="N59" s="10" t="s">
        <v>16</v>
      </c>
      <c r="O59" s="12" t="s">
        <v>95</v>
      </c>
      <c r="P59" s="2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21</v>
      </c>
      <c r="M60" s="15">
        <v>1320.22</v>
      </c>
      <c r="N60" s="10" t="s">
        <v>100</v>
      </c>
      <c r="O60" s="17" t="s">
        <v>63</v>
      </c>
      <c r="P60" s="2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10">
        <v>42.23</v>
      </c>
      <c r="N61" s="10" t="s">
        <v>16</v>
      </c>
      <c r="O61" s="12" t="s">
        <v>16</v>
      </c>
      <c r="P61" s="2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104</v>
      </c>
      <c r="B62" s="14" t="s">
        <v>12</v>
      </c>
      <c r="C62" s="14" t="s">
        <v>12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15">
        <v>835.81</v>
      </c>
      <c r="N62" s="10" t="s">
        <v>100</v>
      </c>
      <c r="O62" s="17" t="s">
        <v>65</v>
      </c>
      <c r="P62" s="2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105</v>
      </c>
      <c r="B63" s="9" t="s">
        <v>18</v>
      </c>
      <c r="C63" s="9" t="s">
        <v>576</v>
      </c>
      <c r="D63" s="10" t="s">
        <v>13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26</v>
      </c>
      <c r="M63" s="10">
        <v>54.58</v>
      </c>
      <c r="N63" s="10" t="s">
        <v>35</v>
      </c>
      <c r="O63" s="12" t="s">
        <v>30</v>
      </c>
      <c r="P63" s="2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26</v>
      </c>
      <c r="M64" s="15">
        <v>922.83</v>
      </c>
      <c r="N64" s="10" t="s">
        <v>100</v>
      </c>
      <c r="O64" s="17" t="s">
        <v>100</v>
      </c>
      <c r="P64" s="2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10">
        <v>36.86</v>
      </c>
      <c r="N65" s="10" t="s">
        <v>100</v>
      </c>
      <c r="O65" s="12" t="s">
        <v>100</v>
      </c>
      <c r="P65" s="2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108</v>
      </c>
      <c r="B66" s="14" t="s">
        <v>12</v>
      </c>
      <c r="C66" s="14" t="s">
        <v>12</v>
      </c>
      <c r="D66" s="15" t="s">
        <v>13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0" t="s">
        <v>35</v>
      </c>
      <c r="O66" s="17" t="s">
        <v>30</v>
      </c>
      <c r="P66" s="2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109</v>
      </c>
      <c r="B67" s="9" t="s">
        <v>18</v>
      </c>
      <c r="C67" s="9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15</v>
      </c>
      <c r="M67" s="10">
        <v>757.48</v>
      </c>
      <c r="N67" s="10" t="s">
        <v>41</v>
      </c>
      <c r="O67" s="12" t="s">
        <v>41</v>
      </c>
      <c r="P67" s="2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15">
        <v>17.88</v>
      </c>
      <c r="N68" s="10" t="s">
        <v>35</v>
      </c>
      <c r="O68" s="17" t="s">
        <v>35</v>
      </c>
      <c r="P68" s="2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10">
        <v>408.02</v>
      </c>
      <c r="N69" s="10" t="s">
        <v>41</v>
      </c>
      <c r="O69" s="12" t="s">
        <v>68</v>
      </c>
      <c r="P69" s="2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112</v>
      </c>
      <c r="B70" s="14" t="s">
        <v>12</v>
      </c>
      <c r="C70" s="14" t="s">
        <v>12</v>
      </c>
      <c r="D70" s="15" t="s">
        <v>13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26</v>
      </c>
      <c r="M70" s="15">
        <v>542.05999999999995</v>
      </c>
      <c r="N70" s="10" t="s">
        <v>100</v>
      </c>
      <c r="O70" s="17" t="s">
        <v>100</v>
      </c>
      <c r="P70" s="2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113</v>
      </c>
      <c r="B71" s="9" t="s">
        <v>18</v>
      </c>
      <c r="C71" s="9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10">
        <v>611.45000000000005</v>
      </c>
      <c r="N71" s="10" t="s">
        <v>35</v>
      </c>
      <c r="O71" s="12" t="s">
        <v>58</v>
      </c>
      <c r="P71" s="2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114</v>
      </c>
      <c r="B72" s="14" t="s">
        <v>24</v>
      </c>
      <c r="C72" s="14" t="s">
        <v>24</v>
      </c>
      <c r="D72" s="15" t="s">
        <v>13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15">
        <v>752</v>
      </c>
      <c r="N72" s="10" t="s">
        <v>35</v>
      </c>
      <c r="O72" s="17" t="s">
        <v>35</v>
      </c>
      <c r="P72" s="2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115</v>
      </c>
      <c r="B73" s="9" t="s">
        <v>29</v>
      </c>
      <c r="C73" s="9" t="s">
        <v>29</v>
      </c>
      <c r="D73" s="10" t="s">
        <v>13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10">
        <v>698.02</v>
      </c>
      <c r="N73" s="10" t="s">
        <v>79</v>
      </c>
      <c r="O73" s="12" t="s">
        <v>79</v>
      </c>
      <c r="P73" s="2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116</v>
      </c>
      <c r="B74" s="14" t="s">
        <v>12</v>
      </c>
      <c r="C74" s="14" t="s">
        <v>12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15">
        <v>1229.3</v>
      </c>
      <c r="N74" s="10" t="s">
        <v>100</v>
      </c>
      <c r="O74" s="17" t="s">
        <v>63</v>
      </c>
      <c r="P74" s="2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117</v>
      </c>
      <c r="B75" s="9" t="s">
        <v>18</v>
      </c>
      <c r="C75" s="9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10" t="s">
        <v>35</v>
      </c>
      <c r="O75" s="12" t="s">
        <v>30</v>
      </c>
      <c r="P75" s="2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118</v>
      </c>
      <c r="B76" s="14" t="s">
        <v>24</v>
      </c>
      <c r="C76" s="14" t="s">
        <v>24</v>
      </c>
      <c r="D76" s="15" t="s">
        <v>13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21</v>
      </c>
      <c r="M76" s="15">
        <v>163.35</v>
      </c>
      <c r="N76" s="10" t="s">
        <v>16</v>
      </c>
      <c r="O76" s="17" t="s">
        <v>52</v>
      </c>
      <c r="P76" s="2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10" t="s">
        <v>16</v>
      </c>
      <c r="O77" s="12" t="s">
        <v>52</v>
      </c>
      <c r="P77" s="2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120</v>
      </c>
      <c r="B78" s="14" t="s">
        <v>12</v>
      </c>
      <c r="C78" s="14" t="s">
        <v>12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15</v>
      </c>
      <c r="M78" s="15">
        <v>1440.78</v>
      </c>
      <c r="N78" s="10" t="s">
        <v>79</v>
      </c>
      <c r="O78" s="17" t="s">
        <v>55</v>
      </c>
      <c r="P78" s="2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121</v>
      </c>
      <c r="B79" s="9" t="s">
        <v>18</v>
      </c>
      <c r="C79" s="9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15</v>
      </c>
      <c r="M79" s="10">
        <v>336.22</v>
      </c>
      <c r="N79" s="10" t="s">
        <v>16</v>
      </c>
      <c r="O79" s="12" t="s">
        <v>95</v>
      </c>
      <c r="P79" s="2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15</v>
      </c>
      <c r="M80" s="15">
        <v>151.09</v>
      </c>
      <c r="N80" s="10" t="s">
        <v>35</v>
      </c>
      <c r="O80" s="17" t="s">
        <v>30</v>
      </c>
      <c r="P80" s="2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15</v>
      </c>
      <c r="M81" s="10">
        <v>289.32</v>
      </c>
      <c r="N81" s="10" t="s">
        <v>41</v>
      </c>
      <c r="O81" s="12" t="s">
        <v>41</v>
      </c>
      <c r="P81" s="2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124</v>
      </c>
      <c r="B82" s="14" t="s">
        <v>12</v>
      </c>
      <c r="C82" s="14" t="s">
        <v>12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15">
        <v>684.94</v>
      </c>
      <c r="N82" s="10" t="s">
        <v>41</v>
      </c>
      <c r="O82" s="17" t="s">
        <v>41</v>
      </c>
      <c r="P82" s="2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125</v>
      </c>
      <c r="B83" s="9" t="s">
        <v>18</v>
      </c>
      <c r="C83" s="9" t="s">
        <v>576</v>
      </c>
      <c r="D83" s="10" t="s">
        <v>13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15</v>
      </c>
      <c r="M83" s="10">
        <v>175.75</v>
      </c>
      <c r="N83" s="10" t="s">
        <v>27</v>
      </c>
      <c r="O83" s="12" t="s">
        <v>39</v>
      </c>
      <c r="P83" s="2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126</v>
      </c>
      <c r="B84" s="14" t="s">
        <v>24</v>
      </c>
      <c r="C84" s="14" t="s">
        <v>24</v>
      </c>
      <c r="D84" s="15" t="s">
        <v>13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15">
        <v>171.87</v>
      </c>
      <c r="N84" s="10" t="s">
        <v>16</v>
      </c>
      <c r="O84" s="17" t="s">
        <v>95</v>
      </c>
      <c r="P84" s="2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10">
        <v>105.25</v>
      </c>
      <c r="N85" s="10" t="s">
        <v>35</v>
      </c>
      <c r="O85" s="12" t="s">
        <v>58</v>
      </c>
      <c r="P85" s="2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128</v>
      </c>
      <c r="B86" s="14" t="s">
        <v>12</v>
      </c>
      <c r="C86" s="14" t="s">
        <v>12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15</v>
      </c>
      <c r="M86" s="15">
        <v>754.77</v>
      </c>
      <c r="N86" s="10" t="s">
        <v>35</v>
      </c>
      <c r="O86" s="17" t="s">
        <v>58</v>
      </c>
      <c r="P86" s="2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129</v>
      </c>
      <c r="B87" s="9" t="s">
        <v>18</v>
      </c>
      <c r="C87" s="9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15</v>
      </c>
      <c r="M87" s="10">
        <v>705.01</v>
      </c>
      <c r="N87" s="10" t="s">
        <v>41</v>
      </c>
      <c r="O87" s="12" t="s">
        <v>41</v>
      </c>
      <c r="P87" s="2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15">
        <v>719.11</v>
      </c>
      <c r="N88" s="10" t="s">
        <v>27</v>
      </c>
      <c r="O88" s="17" t="s">
        <v>27</v>
      </c>
      <c r="P88" s="2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131</v>
      </c>
      <c r="B89" s="9" t="s">
        <v>29</v>
      </c>
      <c r="C89" s="9" t="s">
        <v>29</v>
      </c>
      <c r="D89" s="10" t="s">
        <v>13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15</v>
      </c>
      <c r="M89" s="10">
        <v>120.84</v>
      </c>
      <c r="N89" s="10" t="s">
        <v>79</v>
      </c>
      <c r="O89" s="12" t="s">
        <v>55</v>
      </c>
      <c r="P89" s="2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132</v>
      </c>
      <c r="B90" s="14" t="s">
        <v>12</v>
      </c>
      <c r="C90" s="14" t="s">
        <v>12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15">
        <v>1281.0999999999999</v>
      </c>
      <c r="N90" s="10" t="s">
        <v>35</v>
      </c>
      <c r="O90" s="17" t="s">
        <v>35</v>
      </c>
      <c r="P90" s="2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133</v>
      </c>
      <c r="B91" s="9" t="s">
        <v>18</v>
      </c>
      <c r="C91" s="9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15</v>
      </c>
      <c r="M91" s="10">
        <v>203.17</v>
      </c>
      <c r="N91" s="10" t="s">
        <v>79</v>
      </c>
      <c r="O91" s="12" t="s">
        <v>79</v>
      </c>
      <c r="P91" s="2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15">
        <v>1325.93</v>
      </c>
      <c r="N92" s="10" t="s">
        <v>79</v>
      </c>
      <c r="O92" s="17" t="s">
        <v>55</v>
      </c>
      <c r="P92" s="2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21</v>
      </c>
      <c r="M93" s="10">
        <v>311.67</v>
      </c>
      <c r="N93" s="10" t="s">
        <v>35</v>
      </c>
      <c r="O93" s="12" t="s">
        <v>30</v>
      </c>
      <c r="P93" s="2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136</v>
      </c>
      <c r="B94" s="14" t="s">
        <v>12</v>
      </c>
      <c r="C94" s="14" t="s">
        <v>12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21</v>
      </c>
      <c r="M94" s="15">
        <v>469.27</v>
      </c>
      <c r="N94" s="10" t="s">
        <v>35</v>
      </c>
      <c r="O94" s="17" t="s">
        <v>30</v>
      </c>
      <c r="P94" s="2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137</v>
      </c>
      <c r="B95" s="9" t="s">
        <v>18</v>
      </c>
      <c r="C95" s="9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10">
        <v>608.51</v>
      </c>
      <c r="N95" s="10" t="s">
        <v>100</v>
      </c>
      <c r="O95" s="12" t="s">
        <v>100</v>
      </c>
      <c r="P95" s="2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15</v>
      </c>
      <c r="M96" s="15">
        <v>241.86</v>
      </c>
      <c r="N96" s="10" t="s">
        <v>35</v>
      </c>
      <c r="O96" s="17" t="s">
        <v>35</v>
      </c>
      <c r="P96" s="2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21</v>
      </c>
      <c r="M97" s="10">
        <v>523.02</v>
      </c>
      <c r="N97" s="10" t="s">
        <v>16</v>
      </c>
      <c r="O97" s="12" t="s">
        <v>95</v>
      </c>
      <c r="P97" s="2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140</v>
      </c>
      <c r="B98" s="14" t="s">
        <v>12</v>
      </c>
      <c r="C98" s="14" t="s">
        <v>12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15">
        <v>764.06</v>
      </c>
      <c r="N98" s="10" t="s">
        <v>41</v>
      </c>
      <c r="O98" s="17" t="s">
        <v>68</v>
      </c>
      <c r="P98" s="2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141</v>
      </c>
      <c r="B99" s="9" t="s">
        <v>18</v>
      </c>
      <c r="C99" s="9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26</v>
      </c>
      <c r="M99" s="10">
        <v>957.31</v>
      </c>
      <c r="N99" s="10" t="s">
        <v>35</v>
      </c>
      <c r="O99" s="12" t="s">
        <v>58</v>
      </c>
      <c r="P99" s="2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15">
        <v>180.83</v>
      </c>
      <c r="N100" s="10" t="s">
        <v>100</v>
      </c>
      <c r="O100" s="17" t="s">
        <v>63</v>
      </c>
      <c r="P100" s="2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10">
        <v>186.24</v>
      </c>
      <c r="N101" s="10" t="s">
        <v>27</v>
      </c>
      <c r="O101" s="12" t="s">
        <v>48</v>
      </c>
      <c r="P101" s="2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144</v>
      </c>
      <c r="B102" s="14" t="s">
        <v>12</v>
      </c>
      <c r="C102" s="14" t="s">
        <v>12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15">
        <v>306.17</v>
      </c>
      <c r="N102" s="10" t="s">
        <v>35</v>
      </c>
      <c r="O102" s="17" t="s">
        <v>30</v>
      </c>
      <c r="P102" s="2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145</v>
      </c>
      <c r="B103" s="9" t="s">
        <v>18</v>
      </c>
      <c r="C103" s="9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21</v>
      </c>
      <c r="M103" s="10">
        <v>1077.1099999999999</v>
      </c>
      <c r="N103" s="10" t="s">
        <v>41</v>
      </c>
      <c r="O103" s="12" t="s">
        <v>41</v>
      </c>
      <c r="P103" s="2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15">
        <v>666.98</v>
      </c>
      <c r="N104" s="10" t="s">
        <v>79</v>
      </c>
      <c r="O104" s="17" t="s">
        <v>22</v>
      </c>
      <c r="P104" s="2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26</v>
      </c>
      <c r="M105" s="10">
        <v>777.62</v>
      </c>
      <c r="N105" s="10" t="s">
        <v>79</v>
      </c>
      <c r="O105" s="12" t="s">
        <v>22</v>
      </c>
      <c r="P105" s="2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148</v>
      </c>
      <c r="B106" s="14" t="s">
        <v>12</v>
      </c>
      <c r="C106" s="14" t="s">
        <v>12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15</v>
      </c>
      <c r="M106" s="15">
        <v>483.88</v>
      </c>
      <c r="N106" s="10" t="s">
        <v>16</v>
      </c>
      <c r="O106" s="17" t="s">
        <v>95</v>
      </c>
      <c r="P106" s="2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149</v>
      </c>
      <c r="B107" s="9" t="s">
        <v>18</v>
      </c>
      <c r="C107" s="9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21</v>
      </c>
      <c r="M107" s="10">
        <v>587.57000000000005</v>
      </c>
      <c r="N107" s="10" t="s">
        <v>79</v>
      </c>
      <c r="O107" s="12" t="s">
        <v>55</v>
      </c>
      <c r="P107" s="2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15">
        <v>660.08</v>
      </c>
      <c r="N108" s="10" t="s">
        <v>35</v>
      </c>
      <c r="O108" s="17" t="s">
        <v>58</v>
      </c>
      <c r="P108" s="2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21</v>
      </c>
      <c r="M109" s="10">
        <v>1047.8699999999999</v>
      </c>
      <c r="N109" s="10" t="s">
        <v>79</v>
      </c>
      <c r="O109" s="12" t="s">
        <v>79</v>
      </c>
      <c r="P109" s="2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152</v>
      </c>
      <c r="B110" s="14" t="s">
        <v>12</v>
      </c>
      <c r="C110" s="14" t="s">
        <v>12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15">
        <v>1092.43</v>
      </c>
      <c r="N110" s="10" t="s">
        <v>16</v>
      </c>
      <c r="O110" s="17" t="s">
        <v>52</v>
      </c>
      <c r="P110" s="2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153</v>
      </c>
      <c r="B111" s="9" t="s">
        <v>18</v>
      </c>
      <c r="C111" s="9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10" t="s">
        <v>27</v>
      </c>
      <c r="O111" s="12" t="s">
        <v>39</v>
      </c>
      <c r="P111" s="2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21</v>
      </c>
      <c r="M112" s="15">
        <v>1168.31</v>
      </c>
      <c r="N112" s="10" t="s">
        <v>100</v>
      </c>
      <c r="O112" s="17" t="s">
        <v>63</v>
      </c>
      <c r="P112" s="2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21</v>
      </c>
      <c r="M113" s="10">
        <v>71.8</v>
      </c>
      <c r="N113" s="10" t="s">
        <v>41</v>
      </c>
      <c r="O113" s="12" t="s">
        <v>68</v>
      </c>
      <c r="P113" s="2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156</v>
      </c>
      <c r="B114" s="14" t="s">
        <v>12</v>
      </c>
      <c r="C114" s="14" t="s">
        <v>12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21</v>
      </c>
      <c r="M114" s="15">
        <v>546.45000000000005</v>
      </c>
      <c r="N114" s="10" t="s">
        <v>35</v>
      </c>
      <c r="O114" s="17" t="s">
        <v>58</v>
      </c>
      <c r="P114" s="2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157</v>
      </c>
      <c r="B115" s="9" t="s">
        <v>18</v>
      </c>
      <c r="C115" s="9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10">
        <v>223.68</v>
      </c>
      <c r="N115" s="10" t="s">
        <v>35</v>
      </c>
      <c r="O115" s="12" t="s">
        <v>58</v>
      </c>
      <c r="P115" s="2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13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21</v>
      </c>
      <c r="M116" s="15">
        <v>153.62</v>
      </c>
      <c r="N116" s="10" t="s">
        <v>100</v>
      </c>
      <c r="O116" s="17" t="s">
        <v>65</v>
      </c>
      <c r="P116" s="2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10">
        <v>815.29</v>
      </c>
      <c r="N117" s="10" t="s">
        <v>79</v>
      </c>
      <c r="O117" s="12" t="s">
        <v>22</v>
      </c>
      <c r="P117" s="2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160</v>
      </c>
      <c r="B118" s="14" t="s">
        <v>12</v>
      </c>
      <c r="C118" s="14" t="s">
        <v>12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26</v>
      </c>
      <c r="M118" s="15">
        <v>817.55</v>
      </c>
      <c r="N118" s="10" t="s">
        <v>16</v>
      </c>
      <c r="O118" s="17" t="s">
        <v>95</v>
      </c>
      <c r="P118" s="2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161</v>
      </c>
      <c r="B119" s="9" t="s">
        <v>18</v>
      </c>
      <c r="C119" s="9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10">
        <v>289.92</v>
      </c>
      <c r="N119" s="10" t="s">
        <v>16</v>
      </c>
      <c r="O119" s="12" t="s">
        <v>16</v>
      </c>
      <c r="P119" s="2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15">
        <v>274.36</v>
      </c>
      <c r="N120" s="10" t="s">
        <v>41</v>
      </c>
      <c r="O120" s="17" t="s">
        <v>68</v>
      </c>
      <c r="P120" s="2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10">
        <v>1022.41</v>
      </c>
      <c r="N121" s="10" t="s">
        <v>79</v>
      </c>
      <c r="O121" s="12" t="s">
        <v>79</v>
      </c>
      <c r="P121" s="2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164</v>
      </c>
      <c r="B122" s="14" t="s">
        <v>12</v>
      </c>
      <c r="C122" s="14" t="s">
        <v>12</v>
      </c>
      <c r="D122" s="15" t="s">
        <v>13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15</v>
      </c>
      <c r="M122" s="15">
        <v>558.65</v>
      </c>
      <c r="N122" s="10" t="s">
        <v>16</v>
      </c>
      <c r="O122" s="17" t="s">
        <v>52</v>
      </c>
      <c r="P122" s="2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165</v>
      </c>
      <c r="B123" s="9" t="s">
        <v>18</v>
      </c>
      <c r="C123" s="9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10">
        <v>40.409999999999997</v>
      </c>
      <c r="N123" s="10" t="s">
        <v>79</v>
      </c>
      <c r="O123" s="12" t="s">
        <v>79</v>
      </c>
      <c r="P123" s="2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26</v>
      </c>
      <c r="M124" s="15">
        <v>1045.7</v>
      </c>
      <c r="N124" s="10" t="s">
        <v>27</v>
      </c>
      <c r="O124" s="17" t="s">
        <v>27</v>
      </c>
      <c r="P124" s="2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26</v>
      </c>
      <c r="M125" s="10">
        <v>179.78</v>
      </c>
      <c r="N125" s="10" t="s">
        <v>35</v>
      </c>
      <c r="O125" s="12" t="s">
        <v>35</v>
      </c>
      <c r="P125" s="2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168</v>
      </c>
      <c r="B126" s="14" t="s">
        <v>12</v>
      </c>
      <c r="C126" s="14" t="s">
        <v>12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15</v>
      </c>
      <c r="M126" s="15">
        <v>789.67</v>
      </c>
      <c r="N126" s="10" t="s">
        <v>35</v>
      </c>
      <c r="O126" s="17" t="s">
        <v>30</v>
      </c>
      <c r="P126" s="2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169</v>
      </c>
      <c r="B127" s="9" t="s">
        <v>18</v>
      </c>
      <c r="C127" s="9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26</v>
      </c>
      <c r="M127" s="10">
        <v>296.98</v>
      </c>
      <c r="N127" s="10" t="s">
        <v>41</v>
      </c>
      <c r="O127" s="12" t="s">
        <v>68</v>
      </c>
      <c r="P127" s="2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15">
        <v>333.34</v>
      </c>
      <c r="N128" s="10" t="s">
        <v>79</v>
      </c>
      <c r="O128" s="17" t="s">
        <v>22</v>
      </c>
      <c r="P128" s="2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10">
        <v>934.84</v>
      </c>
      <c r="N129" s="10" t="s">
        <v>27</v>
      </c>
      <c r="O129" s="12" t="s">
        <v>27</v>
      </c>
      <c r="P129" s="2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172</v>
      </c>
      <c r="B130" s="14" t="s">
        <v>12</v>
      </c>
      <c r="C130" s="14" t="s">
        <v>12</v>
      </c>
      <c r="D130" s="15" t="s">
        <v>13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21</v>
      </c>
      <c r="M130" s="15">
        <v>197.42</v>
      </c>
      <c r="N130" s="10" t="s">
        <v>27</v>
      </c>
      <c r="O130" s="17" t="s">
        <v>39</v>
      </c>
      <c r="P130" s="2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173</v>
      </c>
      <c r="B131" s="9" t="s">
        <v>18</v>
      </c>
      <c r="C131" s="9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15</v>
      </c>
      <c r="M131" s="10">
        <v>293.39999999999998</v>
      </c>
      <c r="N131" s="10" t="s">
        <v>16</v>
      </c>
      <c r="O131" s="12" t="s">
        <v>16</v>
      </c>
      <c r="P131" s="2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13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21</v>
      </c>
      <c r="M132" s="15">
        <v>602.37</v>
      </c>
      <c r="N132" s="10" t="s">
        <v>35</v>
      </c>
      <c r="O132" s="17" t="s">
        <v>35</v>
      </c>
      <c r="P132" s="2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26</v>
      </c>
      <c r="M133" s="10">
        <v>715.56</v>
      </c>
      <c r="N133" s="10" t="s">
        <v>41</v>
      </c>
      <c r="O133" s="12" t="s">
        <v>68</v>
      </c>
      <c r="P133" s="2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176</v>
      </c>
      <c r="B134" s="14" t="s">
        <v>12</v>
      </c>
      <c r="C134" s="14" t="s">
        <v>12</v>
      </c>
      <c r="D134" s="15" t="s">
        <v>13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21</v>
      </c>
      <c r="M134" s="15">
        <v>265.5</v>
      </c>
      <c r="N134" s="10" t="s">
        <v>16</v>
      </c>
      <c r="O134" s="17" t="s">
        <v>52</v>
      </c>
      <c r="P134" s="2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177</v>
      </c>
      <c r="B135" s="9" t="s">
        <v>18</v>
      </c>
      <c r="C135" s="9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10">
        <v>583.83000000000004</v>
      </c>
      <c r="N135" s="10" t="s">
        <v>16</v>
      </c>
      <c r="O135" s="12" t="s">
        <v>95</v>
      </c>
      <c r="P135" s="2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15">
        <v>478.2</v>
      </c>
      <c r="N136" s="10" t="s">
        <v>41</v>
      </c>
      <c r="O136" s="17" t="s">
        <v>44</v>
      </c>
      <c r="P136" s="2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10">
        <v>201.73</v>
      </c>
      <c r="N137" s="10" t="s">
        <v>41</v>
      </c>
      <c r="O137" s="12" t="s">
        <v>44</v>
      </c>
      <c r="P137" s="2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180</v>
      </c>
      <c r="B138" s="14" t="s">
        <v>12</v>
      </c>
      <c r="C138" s="14" t="s">
        <v>12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15</v>
      </c>
      <c r="M138" s="15">
        <v>428.41</v>
      </c>
      <c r="N138" s="10" t="s">
        <v>27</v>
      </c>
      <c r="O138" s="17" t="s">
        <v>39</v>
      </c>
      <c r="P138" s="2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181</v>
      </c>
      <c r="B139" s="9" t="s">
        <v>18</v>
      </c>
      <c r="C139" s="9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26</v>
      </c>
      <c r="M139" s="10">
        <v>497.78</v>
      </c>
      <c r="N139" s="10" t="s">
        <v>27</v>
      </c>
      <c r="O139" s="12" t="s">
        <v>39</v>
      </c>
      <c r="P139" s="2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0" t="s">
        <v>27</v>
      </c>
      <c r="O140" s="17" t="s">
        <v>39</v>
      </c>
      <c r="P140" s="2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26</v>
      </c>
      <c r="M141" s="10">
        <v>466.35</v>
      </c>
      <c r="N141" s="10" t="s">
        <v>16</v>
      </c>
      <c r="O141" s="12" t="s">
        <v>52</v>
      </c>
      <c r="P141" s="2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184</v>
      </c>
      <c r="B142" s="14" t="s">
        <v>12</v>
      </c>
      <c r="C142" s="14" t="s">
        <v>12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26</v>
      </c>
      <c r="M142" s="15">
        <v>44.61</v>
      </c>
      <c r="N142" s="10" t="s">
        <v>100</v>
      </c>
      <c r="O142" s="17" t="s">
        <v>65</v>
      </c>
      <c r="P142" s="2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185</v>
      </c>
      <c r="B143" s="9" t="s">
        <v>18</v>
      </c>
      <c r="C143" s="9" t="s">
        <v>576</v>
      </c>
      <c r="D143" s="10" t="s">
        <v>13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10">
        <v>699.11</v>
      </c>
      <c r="N143" s="10" t="s">
        <v>41</v>
      </c>
      <c r="O143" s="12" t="s">
        <v>68</v>
      </c>
      <c r="P143" s="2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15">
        <v>858.27</v>
      </c>
      <c r="N144" s="10" t="s">
        <v>100</v>
      </c>
      <c r="O144" s="17" t="s">
        <v>100</v>
      </c>
      <c r="P144" s="2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15</v>
      </c>
      <c r="M145" s="10">
        <v>46.23</v>
      </c>
      <c r="N145" s="10" t="s">
        <v>27</v>
      </c>
      <c r="O145" s="12" t="s">
        <v>27</v>
      </c>
      <c r="P145" s="2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188</v>
      </c>
      <c r="B146" s="14" t="s">
        <v>12</v>
      </c>
      <c r="C146" s="14" t="s">
        <v>12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15">
        <v>171.37</v>
      </c>
      <c r="N146" s="10" t="s">
        <v>27</v>
      </c>
      <c r="O146" s="17" t="s">
        <v>39</v>
      </c>
      <c r="P146" s="2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189</v>
      </c>
      <c r="B147" s="9" t="s">
        <v>18</v>
      </c>
      <c r="C147" s="9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26</v>
      </c>
      <c r="M147" s="10">
        <v>1201.33</v>
      </c>
      <c r="N147" s="10" t="s">
        <v>27</v>
      </c>
      <c r="O147" s="12" t="s">
        <v>27</v>
      </c>
      <c r="P147" s="2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13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15">
        <v>609.51</v>
      </c>
      <c r="N148" s="10" t="s">
        <v>27</v>
      </c>
      <c r="O148" s="17" t="s">
        <v>48</v>
      </c>
      <c r="P148" s="2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191</v>
      </c>
      <c r="B149" s="9" t="s">
        <v>29</v>
      </c>
      <c r="C149" s="9" t="s">
        <v>29</v>
      </c>
      <c r="D149" s="10" t="s">
        <v>13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26</v>
      </c>
      <c r="M149" s="10">
        <v>248.9</v>
      </c>
      <c r="N149" s="10" t="s">
        <v>16</v>
      </c>
      <c r="O149" s="12" t="s">
        <v>16</v>
      </c>
      <c r="P149" s="2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192</v>
      </c>
      <c r="B150" s="14" t="s">
        <v>12</v>
      </c>
      <c r="C150" s="14" t="s">
        <v>12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15">
        <v>394.17</v>
      </c>
      <c r="N150" s="10" t="s">
        <v>41</v>
      </c>
      <c r="O150" s="17" t="s">
        <v>44</v>
      </c>
      <c r="P150" s="2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193</v>
      </c>
      <c r="B151" s="9" t="s">
        <v>18</v>
      </c>
      <c r="C151" s="9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10">
        <v>1205.9000000000001</v>
      </c>
      <c r="N151" s="10" t="s">
        <v>27</v>
      </c>
      <c r="O151" s="12" t="s">
        <v>27</v>
      </c>
      <c r="P151" s="2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15">
        <v>408.16</v>
      </c>
      <c r="N152" s="10" t="s">
        <v>16</v>
      </c>
      <c r="O152" s="17" t="s">
        <v>95</v>
      </c>
      <c r="P152" s="2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21</v>
      </c>
      <c r="M153" s="10">
        <v>617.32000000000005</v>
      </c>
      <c r="N153" s="10" t="s">
        <v>41</v>
      </c>
      <c r="O153" s="12" t="s">
        <v>68</v>
      </c>
      <c r="P153" s="2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196</v>
      </c>
      <c r="B154" s="14" t="s">
        <v>12</v>
      </c>
      <c r="C154" s="14" t="s">
        <v>12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15</v>
      </c>
      <c r="M154" s="15">
        <v>253.65</v>
      </c>
      <c r="N154" s="10" t="s">
        <v>41</v>
      </c>
      <c r="O154" s="17" t="s">
        <v>44</v>
      </c>
      <c r="P154" s="2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197</v>
      </c>
      <c r="B155" s="9" t="s">
        <v>18</v>
      </c>
      <c r="C155" s="9" t="s">
        <v>576</v>
      </c>
      <c r="D155" s="10" t="s">
        <v>13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15</v>
      </c>
      <c r="M155" s="10">
        <v>742.76</v>
      </c>
      <c r="N155" s="10" t="s">
        <v>16</v>
      </c>
      <c r="O155" s="12" t="s">
        <v>52</v>
      </c>
      <c r="P155" s="2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13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15</v>
      </c>
      <c r="M156" s="15">
        <v>182.68</v>
      </c>
      <c r="N156" s="10" t="s">
        <v>16</v>
      </c>
      <c r="O156" s="17" t="s">
        <v>95</v>
      </c>
      <c r="P156" s="2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26</v>
      </c>
      <c r="M157" s="10">
        <v>735.37</v>
      </c>
      <c r="N157" s="10" t="s">
        <v>79</v>
      </c>
      <c r="O157" s="12" t="s">
        <v>22</v>
      </c>
      <c r="P157" s="2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200</v>
      </c>
      <c r="B158" s="14" t="s">
        <v>12</v>
      </c>
      <c r="C158" s="14" t="s">
        <v>12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0" t="s">
        <v>41</v>
      </c>
      <c r="O158" s="17" t="s">
        <v>44</v>
      </c>
      <c r="P158" s="2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201</v>
      </c>
      <c r="B159" s="9" t="s">
        <v>18</v>
      </c>
      <c r="C159" s="9" t="s">
        <v>576</v>
      </c>
      <c r="D159" s="10" t="s">
        <v>13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10">
        <v>597.1</v>
      </c>
      <c r="N159" s="10" t="s">
        <v>79</v>
      </c>
      <c r="O159" s="12" t="s">
        <v>55</v>
      </c>
      <c r="P159" s="2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0" t="s">
        <v>79</v>
      </c>
      <c r="O160" s="17" t="s">
        <v>55</v>
      </c>
      <c r="P160" s="2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10">
        <v>508.56</v>
      </c>
      <c r="N161" s="10" t="s">
        <v>27</v>
      </c>
      <c r="O161" s="12" t="s">
        <v>48</v>
      </c>
      <c r="P161" s="2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204</v>
      </c>
      <c r="B162" s="14" t="s">
        <v>12</v>
      </c>
      <c r="C162" s="14" t="s">
        <v>12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15">
        <v>166.4</v>
      </c>
      <c r="N162" s="10" t="s">
        <v>35</v>
      </c>
      <c r="O162" s="17" t="s">
        <v>35</v>
      </c>
      <c r="P162" s="2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205</v>
      </c>
      <c r="B163" s="9" t="s">
        <v>18</v>
      </c>
      <c r="C163" s="9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10">
        <v>292.08</v>
      </c>
      <c r="N163" s="10" t="s">
        <v>35</v>
      </c>
      <c r="O163" s="12" t="s">
        <v>58</v>
      </c>
      <c r="P163" s="2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15</v>
      </c>
      <c r="M164" s="15">
        <v>579.12</v>
      </c>
      <c r="N164" s="10" t="s">
        <v>41</v>
      </c>
      <c r="O164" s="17" t="s">
        <v>41</v>
      </c>
      <c r="P164" s="2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10">
        <v>230.99</v>
      </c>
      <c r="N165" s="10" t="s">
        <v>35</v>
      </c>
      <c r="O165" s="12" t="s">
        <v>35</v>
      </c>
      <c r="P165" s="2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208</v>
      </c>
      <c r="B166" s="14" t="s">
        <v>12</v>
      </c>
      <c r="C166" s="14" t="s">
        <v>12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15">
        <v>330.45</v>
      </c>
      <c r="N166" s="10" t="s">
        <v>100</v>
      </c>
      <c r="O166" s="17" t="s">
        <v>63</v>
      </c>
      <c r="P166" s="2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209</v>
      </c>
      <c r="B167" s="9" t="s">
        <v>18</v>
      </c>
      <c r="C167" s="9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10">
        <v>440.26</v>
      </c>
      <c r="N167" s="10" t="s">
        <v>41</v>
      </c>
      <c r="O167" s="12" t="s">
        <v>41</v>
      </c>
      <c r="P167" s="2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15</v>
      </c>
      <c r="M168" s="15">
        <v>332.86</v>
      </c>
      <c r="N168" s="10" t="s">
        <v>79</v>
      </c>
      <c r="O168" s="17" t="s">
        <v>55</v>
      </c>
      <c r="P168" s="2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26</v>
      </c>
      <c r="M169" s="10">
        <v>418.96</v>
      </c>
      <c r="N169" s="10" t="s">
        <v>41</v>
      </c>
      <c r="O169" s="12" t="s">
        <v>41</v>
      </c>
      <c r="P169" s="2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212</v>
      </c>
      <c r="B170" s="14" t="s">
        <v>12</v>
      </c>
      <c r="C170" s="14" t="s">
        <v>12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15</v>
      </c>
      <c r="M170" s="15">
        <v>458.18</v>
      </c>
      <c r="N170" s="10" t="s">
        <v>79</v>
      </c>
      <c r="O170" s="17" t="s">
        <v>55</v>
      </c>
      <c r="P170" s="2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213</v>
      </c>
      <c r="B171" s="9" t="s">
        <v>18</v>
      </c>
      <c r="C171" s="9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15</v>
      </c>
      <c r="M171" s="10">
        <v>522.95000000000005</v>
      </c>
      <c r="N171" s="10" t="s">
        <v>79</v>
      </c>
      <c r="O171" s="12" t="s">
        <v>22</v>
      </c>
      <c r="P171" s="2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0" t="s">
        <v>41</v>
      </c>
      <c r="O172" s="17" t="s">
        <v>44</v>
      </c>
      <c r="P172" s="2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10">
        <v>250.2</v>
      </c>
      <c r="N173" s="10" t="s">
        <v>27</v>
      </c>
      <c r="O173" s="12" t="s">
        <v>39</v>
      </c>
      <c r="P173" s="2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216</v>
      </c>
      <c r="B174" s="14" t="s">
        <v>12</v>
      </c>
      <c r="C174" s="14" t="s">
        <v>12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15</v>
      </c>
      <c r="M174" s="15">
        <v>729.42</v>
      </c>
      <c r="N174" s="10" t="s">
        <v>16</v>
      </c>
      <c r="O174" s="17" t="s">
        <v>16</v>
      </c>
      <c r="P174" s="2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217</v>
      </c>
      <c r="B175" s="9" t="s">
        <v>18</v>
      </c>
      <c r="C175" s="9" t="s">
        <v>576</v>
      </c>
      <c r="D175" s="10" t="s">
        <v>13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15</v>
      </c>
      <c r="M175" s="10">
        <v>253.73</v>
      </c>
      <c r="N175" s="10" t="s">
        <v>35</v>
      </c>
      <c r="O175" s="12" t="s">
        <v>35</v>
      </c>
      <c r="P175" s="2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13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15</v>
      </c>
      <c r="M176" s="15">
        <v>941.87</v>
      </c>
      <c r="N176" s="10" t="s">
        <v>100</v>
      </c>
      <c r="O176" s="17" t="s">
        <v>63</v>
      </c>
      <c r="P176" s="2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15</v>
      </c>
      <c r="M177" s="10">
        <v>671.84</v>
      </c>
      <c r="N177" s="10" t="s">
        <v>35</v>
      </c>
      <c r="O177" s="12" t="s">
        <v>58</v>
      </c>
      <c r="P177" s="2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220</v>
      </c>
      <c r="B178" s="14" t="s">
        <v>12</v>
      </c>
      <c r="C178" s="14" t="s">
        <v>12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15</v>
      </c>
      <c r="M178" s="15">
        <v>814</v>
      </c>
      <c r="N178" s="10" t="s">
        <v>41</v>
      </c>
      <c r="O178" s="17" t="s">
        <v>41</v>
      </c>
      <c r="P178" s="2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221</v>
      </c>
      <c r="B179" s="9" t="s">
        <v>18</v>
      </c>
      <c r="C179" s="9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21</v>
      </c>
      <c r="M179" s="10">
        <v>66.459999999999994</v>
      </c>
      <c r="N179" s="10" t="s">
        <v>27</v>
      </c>
      <c r="O179" s="12" t="s">
        <v>39</v>
      </c>
      <c r="P179" s="2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13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15</v>
      </c>
      <c r="M180" s="15">
        <v>479.33</v>
      </c>
      <c r="N180" s="10" t="s">
        <v>27</v>
      </c>
      <c r="O180" s="17" t="s">
        <v>27</v>
      </c>
      <c r="P180" s="2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10">
        <v>336.28</v>
      </c>
      <c r="N181" s="10" t="s">
        <v>16</v>
      </c>
      <c r="O181" s="12" t="s">
        <v>95</v>
      </c>
      <c r="P181" s="2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224</v>
      </c>
      <c r="B182" s="14" t="s">
        <v>12</v>
      </c>
      <c r="C182" s="14" t="s">
        <v>12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15">
        <v>523.61</v>
      </c>
      <c r="N182" s="10" t="s">
        <v>100</v>
      </c>
      <c r="O182" s="17" t="s">
        <v>65</v>
      </c>
      <c r="P182" s="2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225</v>
      </c>
      <c r="B183" s="9" t="s">
        <v>18</v>
      </c>
      <c r="C183" s="9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15</v>
      </c>
      <c r="M183" s="10">
        <v>235.73</v>
      </c>
      <c r="N183" s="10" t="s">
        <v>41</v>
      </c>
      <c r="O183" s="12" t="s">
        <v>44</v>
      </c>
      <c r="P183" s="2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15</v>
      </c>
      <c r="M184" s="15">
        <v>350.59</v>
      </c>
      <c r="N184" s="10" t="s">
        <v>16</v>
      </c>
      <c r="O184" s="17" t="s">
        <v>52</v>
      </c>
      <c r="P184" s="2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10" t="s">
        <v>100</v>
      </c>
      <c r="O185" s="12" t="s">
        <v>65</v>
      </c>
      <c r="P185" s="2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228</v>
      </c>
      <c r="B186" s="14" t="s">
        <v>12</v>
      </c>
      <c r="C186" s="14" t="s">
        <v>12</v>
      </c>
      <c r="D186" s="15" t="s">
        <v>13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0" t="s">
        <v>35</v>
      </c>
      <c r="O186" s="17" t="s">
        <v>58</v>
      </c>
      <c r="P186" s="2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229</v>
      </c>
      <c r="B187" s="9" t="s">
        <v>18</v>
      </c>
      <c r="C187" s="9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15</v>
      </c>
      <c r="M187" s="10">
        <v>393.92</v>
      </c>
      <c r="N187" s="10" t="s">
        <v>27</v>
      </c>
      <c r="O187" s="12" t="s">
        <v>48</v>
      </c>
      <c r="P187" s="2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26</v>
      </c>
      <c r="M188" s="15">
        <v>112.67</v>
      </c>
      <c r="N188" s="10" t="s">
        <v>100</v>
      </c>
      <c r="O188" s="17" t="s">
        <v>63</v>
      </c>
      <c r="P188" s="2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15</v>
      </c>
      <c r="M189" s="10">
        <v>27.01</v>
      </c>
      <c r="N189" s="10" t="s">
        <v>100</v>
      </c>
      <c r="O189" s="12" t="s">
        <v>65</v>
      </c>
      <c r="P189" s="2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232</v>
      </c>
      <c r="B190" s="14" t="s">
        <v>12</v>
      </c>
      <c r="C190" s="14" t="s">
        <v>12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0" t="s">
        <v>27</v>
      </c>
      <c r="O190" s="17" t="s">
        <v>27</v>
      </c>
      <c r="P190" s="2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233</v>
      </c>
      <c r="B191" s="9" t="s">
        <v>18</v>
      </c>
      <c r="C191" s="9" t="s">
        <v>576</v>
      </c>
      <c r="D191" s="10" t="s">
        <v>13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15</v>
      </c>
      <c r="M191" s="10">
        <v>101.89</v>
      </c>
      <c r="N191" s="10" t="s">
        <v>35</v>
      </c>
      <c r="O191" s="12" t="s">
        <v>58</v>
      </c>
      <c r="P191" s="2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13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26</v>
      </c>
      <c r="M192" s="15">
        <v>639.71</v>
      </c>
      <c r="N192" s="10" t="s">
        <v>100</v>
      </c>
      <c r="O192" s="17" t="s">
        <v>65</v>
      </c>
      <c r="P192" s="2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10">
        <v>549.92999999999995</v>
      </c>
      <c r="N193" s="10" t="s">
        <v>27</v>
      </c>
      <c r="O193" s="12" t="s">
        <v>27</v>
      </c>
      <c r="P193" s="2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236</v>
      </c>
      <c r="B194" s="14" t="s">
        <v>12</v>
      </c>
      <c r="C194" s="14" t="s">
        <v>12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15</v>
      </c>
      <c r="M194" s="15">
        <v>467.32</v>
      </c>
      <c r="N194" s="10" t="s">
        <v>41</v>
      </c>
      <c r="O194" s="17" t="s">
        <v>68</v>
      </c>
      <c r="P194" s="2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237</v>
      </c>
      <c r="B195" s="9" t="s">
        <v>18</v>
      </c>
      <c r="C195" s="9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26</v>
      </c>
      <c r="M195" s="10">
        <v>170.18</v>
      </c>
      <c r="N195" s="10" t="s">
        <v>16</v>
      </c>
      <c r="O195" s="12" t="s">
        <v>16</v>
      </c>
      <c r="P195" s="2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0" t="s">
        <v>100</v>
      </c>
      <c r="O196" s="17" t="s">
        <v>65</v>
      </c>
      <c r="P196" s="2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10">
        <v>242.2</v>
      </c>
      <c r="N197" s="10" t="s">
        <v>27</v>
      </c>
      <c r="O197" s="12" t="s">
        <v>39</v>
      </c>
      <c r="P197" s="2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240</v>
      </c>
      <c r="B198" s="14" t="s">
        <v>12</v>
      </c>
      <c r="C198" s="14" t="s">
        <v>12</v>
      </c>
      <c r="D198" s="15" t="s">
        <v>13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0" t="s">
        <v>16</v>
      </c>
      <c r="O198" s="17" t="s">
        <v>52</v>
      </c>
      <c r="P198" s="2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241</v>
      </c>
      <c r="B199" s="9" t="s">
        <v>18</v>
      </c>
      <c r="C199" s="9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10">
        <v>350.09</v>
      </c>
      <c r="N199" s="10" t="s">
        <v>79</v>
      </c>
      <c r="O199" s="12" t="s">
        <v>79</v>
      </c>
      <c r="P199" s="2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13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15">
        <v>451.8</v>
      </c>
      <c r="N200" s="10" t="s">
        <v>35</v>
      </c>
      <c r="O200" s="17" t="s">
        <v>30</v>
      </c>
      <c r="P200" s="2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243</v>
      </c>
      <c r="B201" s="9" t="s">
        <v>29</v>
      </c>
      <c r="C201" s="9" t="s">
        <v>29</v>
      </c>
      <c r="D201" s="10" t="s">
        <v>13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10">
        <v>1195.98</v>
      </c>
      <c r="N201" s="10" t="s">
        <v>41</v>
      </c>
      <c r="O201" s="12" t="s">
        <v>41</v>
      </c>
      <c r="P201" s="2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244</v>
      </c>
      <c r="B202" s="14" t="s">
        <v>12</v>
      </c>
      <c r="C202" s="14" t="s">
        <v>12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15">
        <v>235.46</v>
      </c>
      <c r="N202" s="10" t="s">
        <v>41</v>
      </c>
      <c r="O202" s="17" t="s">
        <v>68</v>
      </c>
      <c r="P202" s="2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245</v>
      </c>
      <c r="B203" s="9" t="s">
        <v>18</v>
      </c>
      <c r="C203" s="9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10">
        <v>432.87</v>
      </c>
      <c r="N203" s="10" t="s">
        <v>100</v>
      </c>
      <c r="O203" s="12" t="s">
        <v>100</v>
      </c>
      <c r="P203" s="2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15">
        <v>1028.18</v>
      </c>
      <c r="N204" s="10" t="s">
        <v>79</v>
      </c>
      <c r="O204" s="17" t="s">
        <v>22</v>
      </c>
      <c r="P204" s="2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10">
        <v>721</v>
      </c>
      <c r="N205" s="10" t="s">
        <v>16</v>
      </c>
      <c r="O205" s="12" t="s">
        <v>52</v>
      </c>
      <c r="P205" s="2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248</v>
      </c>
      <c r="B206" s="14" t="s">
        <v>12</v>
      </c>
      <c r="C206" s="14" t="s">
        <v>12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15</v>
      </c>
      <c r="M206" s="15">
        <v>788.19</v>
      </c>
      <c r="N206" s="10" t="s">
        <v>100</v>
      </c>
      <c r="O206" s="17" t="s">
        <v>65</v>
      </c>
      <c r="P206" s="2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249</v>
      </c>
      <c r="B207" s="9" t="s">
        <v>18</v>
      </c>
      <c r="C207" s="9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10">
        <v>1095.22</v>
      </c>
      <c r="N207" s="10" t="s">
        <v>100</v>
      </c>
      <c r="O207" s="12" t="s">
        <v>63</v>
      </c>
      <c r="P207" s="2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15">
        <v>121.08</v>
      </c>
      <c r="N208" s="10" t="s">
        <v>41</v>
      </c>
      <c r="O208" s="17" t="s">
        <v>68</v>
      </c>
      <c r="P208" s="2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10">
        <v>47.74</v>
      </c>
      <c r="N209" s="10" t="s">
        <v>27</v>
      </c>
      <c r="O209" s="12" t="s">
        <v>48</v>
      </c>
      <c r="P209" s="2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252</v>
      </c>
      <c r="B210" s="14" t="s">
        <v>12</v>
      </c>
      <c r="C210" s="14" t="s">
        <v>12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15">
        <v>70.55</v>
      </c>
      <c r="N210" s="10" t="s">
        <v>27</v>
      </c>
      <c r="O210" s="17" t="s">
        <v>39</v>
      </c>
      <c r="P210" s="2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253</v>
      </c>
      <c r="B211" s="9" t="s">
        <v>18</v>
      </c>
      <c r="C211" s="9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10">
        <v>970.91</v>
      </c>
      <c r="N211" s="10" t="s">
        <v>16</v>
      </c>
      <c r="O211" s="12" t="s">
        <v>16</v>
      </c>
      <c r="P211" s="2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13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15">
        <v>478.55</v>
      </c>
      <c r="N212" s="10" t="s">
        <v>100</v>
      </c>
      <c r="O212" s="17" t="s">
        <v>65</v>
      </c>
      <c r="P212" s="2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15</v>
      </c>
      <c r="M213" s="10">
        <v>133.02000000000001</v>
      </c>
      <c r="N213" s="10" t="s">
        <v>100</v>
      </c>
      <c r="O213" s="12" t="s">
        <v>100</v>
      </c>
      <c r="P213" s="2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256</v>
      </c>
      <c r="B214" s="14" t="s">
        <v>12</v>
      </c>
      <c r="C214" s="14" t="s">
        <v>12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15">
        <v>161.16</v>
      </c>
      <c r="N214" s="10" t="s">
        <v>100</v>
      </c>
      <c r="O214" s="17" t="s">
        <v>63</v>
      </c>
      <c r="P214" s="2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257</v>
      </c>
      <c r="B215" s="9" t="s">
        <v>18</v>
      </c>
      <c r="C215" s="9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15</v>
      </c>
      <c r="M215" s="10">
        <v>774.75</v>
      </c>
      <c r="N215" s="10" t="s">
        <v>41</v>
      </c>
      <c r="O215" s="12" t="s">
        <v>44</v>
      </c>
      <c r="P215" s="2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13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0" t="s">
        <v>27</v>
      </c>
      <c r="O216" s="17" t="s">
        <v>48</v>
      </c>
      <c r="P216" s="2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10">
        <v>21.73</v>
      </c>
      <c r="N217" s="10" t="s">
        <v>79</v>
      </c>
      <c r="O217" s="12" t="s">
        <v>22</v>
      </c>
      <c r="P217" s="2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260</v>
      </c>
      <c r="B218" s="14" t="s">
        <v>12</v>
      </c>
      <c r="C218" s="14" t="s">
        <v>12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15">
        <v>509.07</v>
      </c>
      <c r="N218" s="10" t="s">
        <v>79</v>
      </c>
      <c r="O218" s="17" t="s">
        <v>55</v>
      </c>
      <c r="P218" s="2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261</v>
      </c>
      <c r="B219" s="9" t="s">
        <v>18</v>
      </c>
      <c r="C219" s="9" t="s">
        <v>576</v>
      </c>
      <c r="D219" s="10" t="s">
        <v>13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10">
        <v>369.28</v>
      </c>
      <c r="N219" s="10" t="s">
        <v>27</v>
      </c>
      <c r="O219" s="12" t="s">
        <v>39</v>
      </c>
      <c r="P219" s="2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13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26</v>
      </c>
      <c r="M220" s="15">
        <v>110.39</v>
      </c>
      <c r="N220" s="10" t="s">
        <v>35</v>
      </c>
      <c r="O220" s="17" t="s">
        <v>58</v>
      </c>
      <c r="P220" s="2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10">
        <v>700.49</v>
      </c>
      <c r="N221" s="10" t="s">
        <v>41</v>
      </c>
      <c r="O221" s="12" t="s">
        <v>44</v>
      </c>
      <c r="P221" s="2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264</v>
      </c>
      <c r="B222" s="14" t="s">
        <v>12</v>
      </c>
      <c r="C222" s="14" t="s">
        <v>12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15">
        <v>909.46</v>
      </c>
      <c r="N222" s="10" t="s">
        <v>41</v>
      </c>
      <c r="O222" s="17" t="s">
        <v>68</v>
      </c>
      <c r="P222" s="2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265</v>
      </c>
      <c r="B223" s="9" t="s">
        <v>18</v>
      </c>
      <c r="C223" s="9" t="s">
        <v>576</v>
      </c>
      <c r="D223" s="10" t="s">
        <v>13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15</v>
      </c>
      <c r="M223" s="10">
        <v>930.63</v>
      </c>
      <c r="N223" s="10" t="s">
        <v>35</v>
      </c>
      <c r="O223" s="12" t="s">
        <v>30</v>
      </c>
      <c r="P223" s="2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15">
        <v>270.37</v>
      </c>
      <c r="N224" s="10" t="s">
        <v>79</v>
      </c>
      <c r="O224" s="17" t="s">
        <v>55</v>
      </c>
      <c r="P224" s="2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10">
        <v>740.19</v>
      </c>
      <c r="N225" s="10" t="s">
        <v>79</v>
      </c>
      <c r="O225" s="12" t="s">
        <v>22</v>
      </c>
      <c r="P225" s="2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268</v>
      </c>
      <c r="B226" s="14" t="s">
        <v>12</v>
      </c>
      <c r="C226" s="14" t="s">
        <v>12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15">
        <v>385.44</v>
      </c>
      <c r="N226" s="10" t="s">
        <v>41</v>
      </c>
      <c r="O226" s="17" t="s">
        <v>41</v>
      </c>
      <c r="P226" s="2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269</v>
      </c>
      <c r="B227" s="9" t="s">
        <v>18</v>
      </c>
      <c r="C227" s="9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10">
        <v>150.44999999999999</v>
      </c>
      <c r="N227" s="10" t="s">
        <v>35</v>
      </c>
      <c r="O227" s="12" t="s">
        <v>30</v>
      </c>
      <c r="P227" s="2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15</v>
      </c>
      <c r="M228" s="15">
        <v>706.04</v>
      </c>
      <c r="N228" s="10" t="s">
        <v>41</v>
      </c>
      <c r="O228" s="17" t="s">
        <v>41</v>
      </c>
      <c r="P228" s="2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10">
        <v>394.98</v>
      </c>
      <c r="N229" s="10" t="s">
        <v>16</v>
      </c>
      <c r="O229" s="12" t="s">
        <v>95</v>
      </c>
      <c r="P229" s="2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272</v>
      </c>
      <c r="B230" s="14" t="s">
        <v>12</v>
      </c>
      <c r="C230" s="14" t="s">
        <v>12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26</v>
      </c>
      <c r="M230" s="15">
        <v>385.71</v>
      </c>
      <c r="N230" s="10" t="s">
        <v>100</v>
      </c>
      <c r="O230" s="17" t="s">
        <v>63</v>
      </c>
      <c r="P230" s="2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273</v>
      </c>
      <c r="B231" s="9" t="s">
        <v>18</v>
      </c>
      <c r="C231" s="9" t="s">
        <v>576</v>
      </c>
      <c r="D231" s="10" t="s">
        <v>13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10">
        <v>244.12</v>
      </c>
      <c r="N231" s="10" t="s">
        <v>27</v>
      </c>
      <c r="O231" s="12" t="s">
        <v>48</v>
      </c>
      <c r="P231" s="2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13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15">
        <v>682.33</v>
      </c>
      <c r="N232" s="10" t="s">
        <v>16</v>
      </c>
      <c r="O232" s="17" t="s">
        <v>95</v>
      </c>
      <c r="P232" s="2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10">
        <v>1055.96</v>
      </c>
      <c r="N233" s="10" t="s">
        <v>100</v>
      </c>
      <c r="O233" s="12" t="s">
        <v>100</v>
      </c>
      <c r="P233" s="2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276</v>
      </c>
      <c r="B234" s="14" t="s">
        <v>12</v>
      </c>
      <c r="C234" s="14" t="s">
        <v>12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15</v>
      </c>
      <c r="M234" s="15">
        <v>219.01</v>
      </c>
      <c r="N234" s="10" t="s">
        <v>27</v>
      </c>
      <c r="O234" s="17" t="s">
        <v>39</v>
      </c>
      <c r="P234" s="2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277</v>
      </c>
      <c r="B235" s="9" t="s">
        <v>18</v>
      </c>
      <c r="C235" s="9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10">
        <v>144.54</v>
      </c>
      <c r="N235" s="10" t="s">
        <v>16</v>
      </c>
      <c r="O235" s="12" t="s">
        <v>95</v>
      </c>
      <c r="P235" s="2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15">
        <v>692.61</v>
      </c>
      <c r="N236" s="10" t="s">
        <v>35</v>
      </c>
      <c r="O236" s="17" t="s">
        <v>58</v>
      </c>
      <c r="P236" s="2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15</v>
      </c>
      <c r="M237" s="10">
        <v>122.23</v>
      </c>
      <c r="N237" s="10" t="s">
        <v>79</v>
      </c>
      <c r="O237" s="12" t="s">
        <v>79</v>
      </c>
      <c r="P237" s="2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280</v>
      </c>
      <c r="B238" s="14" t="s">
        <v>12</v>
      </c>
      <c r="C238" s="14" t="s">
        <v>12</v>
      </c>
      <c r="D238" s="15" t="s">
        <v>13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15</v>
      </c>
      <c r="M238" s="15">
        <v>99.39</v>
      </c>
      <c r="N238" s="10" t="s">
        <v>16</v>
      </c>
      <c r="O238" s="17" t="s">
        <v>16</v>
      </c>
      <c r="P238" s="2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281</v>
      </c>
      <c r="B239" s="9" t="s">
        <v>18</v>
      </c>
      <c r="C239" s="9" t="s">
        <v>576</v>
      </c>
      <c r="D239" s="10" t="s">
        <v>13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21</v>
      </c>
      <c r="M239" s="10">
        <v>600.08000000000004</v>
      </c>
      <c r="N239" s="10" t="s">
        <v>35</v>
      </c>
      <c r="O239" s="12" t="s">
        <v>58</v>
      </c>
      <c r="P239" s="2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15</v>
      </c>
      <c r="M240" s="15">
        <v>427.47</v>
      </c>
      <c r="N240" s="10" t="s">
        <v>100</v>
      </c>
      <c r="O240" s="17" t="s">
        <v>65</v>
      </c>
      <c r="P240" s="2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15</v>
      </c>
      <c r="M241" s="10">
        <v>83.32</v>
      </c>
      <c r="N241" s="10" t="s">
        <v>100</v>
      </c>
      <c r="O241" s="12" t="s">
        <v>65</v>
      </c>
      <c r="P241" s="2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284</v>
      </c>
      <c r="B242" s="14" t="s">
        <v>12</v>
      </c>
      <c r="C242" s="14" t="s">
        <v>12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15">
        <v>358.48</v>
      </c>
      <c r="N242" s="10" t="s">
        <v>79</v>
      </c>
      <c r="O242" s="17" t="s">
        <v>55</v>
      </c>
      <c r="P242" s="2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285</v>
      </c>
      <c r="B243" s="9" t="s">
        <v>18</v>
      </c>
      <c r="C243" s="9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10">
        <v>209.28</v>
      </c>
      <c r="N243" s="10" t="s">
        <v>27</v>
      </c>
      <c r="O243" s="12" t="s">
        <v>39</v>
      </c>
      <c r="P243" s="2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26</v>
      </c>
      <c r="M244" s="15">
        <v>1090.8399999999999</v>
      </c>
      <c r="N244" s="10" t="s">
        <v>27</v>
      </c>
      <c r="O244" s="17" t="s">
        <v>48</v>
      </c>
      <c r="P244" s="2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15</v>
      </c>
      <c r="M245" s="10">
        <v>124.78</v>
      </c>
      <c r="N245" s="10" t="s">
        <v>79</v>
      </c>
      <c r="O245" s="12" t="s">
        <v>22</v>
      </c>
      <c r="P245" s="2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288</v>
      </c>
      <c r="B246" s="14" t="s">
        <v>12</v>
      </c>
      <c r="C246" s="14" t="s">
        <v>12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15">
        <v>627.83000000000004</v>
      </c>
      <c r="N246" s="10" t="s">
        <v>35</v>
      </c>
      <c r="O246" s="17" t="s">
        <v>30</v>
      </c>
      <c r="P246" s="2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289</v>
      </c>
      <c r="B247" s="9" t="s">
        <v>18</v>
      </c>
      <c r="C247" s="9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10">
        <v>656.86</v>
      </c>
      <c r="N247" s="10" t="s">
        <v>100</v>
      </c>
      <c r="O247" s="12" t="s">
        <v>100</v>
      </c>
      <c r="P247" s="2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26</v>
      </c>
      <c r="M248" s="15">
        <v>710.07</v>
      </c>
      <c r="N248" s="10" t="s">
        <v>27</v>
      </c>
      <c r="O248" s="17" t="s">
        <v>48</v>
      </c>
      <c r="P248" s="2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10" t="s">
        <v>41</v>
      </c>
      <c r="O249" s="12" t="s">
        <v>44</v>
      </c>
      <c r="P249" s="2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292</v>
      </c>
      <c r="B250" s="14" t="s">
        <v>12</v>
      </c>
      <c r="C250" s="14" t="s">
        <v>12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0" t="s">
        <v>79</v>
      </c>
      <c r="O250" s="17" t="s">
        <v>55</v>
      </c>
      <c r="P250" s="2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293</v>
      </c>
      <c r="B251" s="9" t="s">
        <v>18</v>
      </c>
      <c r="C251" s="9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26</v>
      </c>
      <c r="M251" s="10">
        <v>675.38</v>
      </c>
      <c r="N251" s="10" t="s">
        <v>27</v>
      </c>
      <c r="O251" s="12" t="s">
        <v>48</v>
      </c>
      <c r="P251" s="2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21</v>
      </c>
      <c r="M252" s="15">
        <v>906.63</v>
      </c>
      <c r="N252" s="10" t="s">
        <v>16</v>
      </c>
      <c r="O252" s="17" t="s">
        <v>16</v>
      </c>
      <c r="P252" s="2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295</v>
      </c>
      <c r="B253" s="9" t="s">
        <v>29</v>
      </c>
      <c r="C253" s="9" t="s">
        <v>29</v>
      </c>
      <c r="D253" s="10" t="s">
        <v>13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10">
        <v>974.82</v>
      </c>
      <c r="N253" s="10" t="s">
        <v>100</v>
      </c>
      <c r="O253" s="12" t="s">
        <v>100</v>
      </c>
      <c r="P253" s="2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296</v>
      </c>
      <c r="B254" s="14" t="s">
        <v>12</v>
      </c>
      <c r="C254" s="14" t="s">
        <v>12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15</v>
      </c>
      <c r="M254" s="15">
        <v>268.47000000000003</v>
      </c>
      <c r="N254" s="10" t="s">
        <v>35</v>
      </c>
      <c r="O254" s="17" t="s">
        <v>30</v>
      </c>
      <c r="P254" s="2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297</v>
      </c>
      <c r="B255" s="9" t="s">
        <v>18</v>
      </c>
      <c r="C255" s="9" t="s">
        <v>576</v>
      </c>
      <c r="D255" s="10" t="s">
        <v>13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26</v>
      </c>
      <c r="M255" s="10">
        <v>179.9</v>
      </c>
      <c r="N255" s="10" t="s">
        <v>79</v>
      </c>
      <c r="O255" s="12" t="s">
        <v>55</v>
      </c>
      <c r="P255" s="2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26</v>
      </c>
      <c r="M256" s="15">
        <v>51.66</v>
      </c>
      <c r="N256" s="10" t="s">
        <v>100</v>
      </c>
      <c r="O256" s="17" t="s">
        <v>65</v>
      </c>
      <c r="P256" s="2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10" t="s">
        <v>35</v>
      </c>
      <c r="O257" s="12" t="s">
        <v>58</v>
      </c>
      <c r="P257" s="2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300</v>
      </c>
      <c r="B258" s="14" t="s">
        <v>12</v>
      </c>
      <c r="C258" s="14" t="s">
        <v>12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0" t="s">
        <v>41</v>
      </c>
      <c r="O258" s="17" t="s">
        <v>41</v>
      </c>
      <c r="P258" s="2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301</v>
      </c>
      <c r="B259" s="9" t="s">
        <v>18</v>
      </c>
      <c r="C259" s="9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10">
        <v>848.11</v>
      </c>
      <c r="N259" s="10" t="s">
        <v>27</v>
      </c>
      <c r="O259" s="12" t="s">
        <v>39</v>
      </c>
      <c r="P259" s="2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15">
        <v>726.26</v>
      </c>
      <c r="N260" s="10" t="s">
        <v>79</v>
      </c>
      <c r="O260" s="17" t="s">
        <v>22</v>
      </c>
      <c r="P260" s="2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15</v>
      </c>
      <c r="M261" s="10">
        <v>106.36</v>
      </c>
      <c r="N261" s="10" t="s">
        <v>41</v>
      </c>
      <c r="O261" s="12" t="s">
        <v>41</v>
      </c>
      <c r="P261" s="2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304</v>
      </c>
      <c r="B262" s="14" t="s">
        <v>12</v>
      </c>
      <c r="C262" s="14" t="s">
        <v>12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15">
        <v>136.83000000000001</v>
      </c>
      <c r="N262" s="10" t="s">
        <v>35</v>
      </c>
      <c r="O262" s="17" t="s">
        <v>30</v>
      </c>
      <c r="P262" s="2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305</v>
      </c>
      <c r="B263" s="9" t="s">
        <v>18</v>
      </c>
      <c r="C263" s="9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21</v>
      </c>
      <c r="M263" s="10">
        <v>531.95000000000005</v>
      </c>
      <c r="N263" s="10" t="s">
        <v>79</v>
      </c>
      <c r="O263" s="12" t="s">
        <v>79</v>
      </c>
      <c r="P263" s="2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26</v>
      </c>
      <c r="M264" s="15">
        <v>1235</v>
      </c>
      <c r="N264" s="10" t="s">
        <v>100</v>
      </c>
      <c r="O264" s="17" t="s">
        <v>65</v>
      </c>
      <c r="P264" s="2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307</v>
      </c>
      <c r="B265" s="9" t="s">
        <v>29</v>
      </c>
      <c r="C265" s="9" t="s">
        <v>29</v>
      </c>
      <c r="D265" s="10" t="s">
        <v>13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21</v>
      </c>
      <c r="M265" s="10">
        <v>405.21</v>
      </c>
      <c r="N265" s="10" t="s">
        <v>27</v>
      </c>
      <c r="O265" s="12" t="s">
        <v>39</v>
      </c>
      <c r="P265" s="2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308</v>
      </c>
      <c r="B266" s="14" t="s">
        <v>12</v>
      </c>
      <c r="C266" s="14" t="s">
        <v>12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21</v>
      </c>
      <c r="M266" s="15">
        <v>276.95999999999998</v>
      </c>
      <c r="N266" s="10" t="s">
        <v>100</v>
      </c>
      <c r="O266" s="17" t="s">
        <v>100</v>
      </c>
      <c r="P266" s="2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309</v>
      </c>
      <c r="B267" s="9" t="s">
        <v>18</v>
      </c>
      <c r="C267" s="9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10">
        <v>72.98</v>
      </c>
      <c r="N267" s="10" t="s">
        <v>41</v>
      </c>
      <c r="O267" s="12" t="s">
        <v>41</v>
      </c>
      <c r="P267" s="2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15</v>
      </c>
      <c r="M268" s="15">
        <v>55.65</v>
      </c>
      <c r="N268" s="10" t="s">
        <v>41</v>
      </c>
      <c r="O268" s="17" t="s">
        <v>41</v>
      </c>
      <c r="P268" s="2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311</v>
      </c>
      <c r="B269" s="9" t="s">
        <v>29</v>
      </c>
      <c r="C269" s="9" t="s">
        <v>29</v>
      </c>
      <c r="D269" s="10" t="s">
        <v>13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10">
        <v>520.04</v>
      </c>
      <c r="N269" s="10" t="s">
        <v>41</v>
      </c>
      <c r="O269" s="12" t="s">
        <v>41</v>
      </c>
      <c r="P269" s="2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312</v>
      </c>
      <c r="B270" s="14" t="s">
        <v>12</v>
      </c>
      <c r="C270" s="14" t="s">
        <v>12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15</v>
      </c>
      <c r="M270" s="15">
        <v>705.97</v>
      </c>
      <c r="N270" s="10" t="s">
        <v>16</v>
      </c>
      <c r="O270" s="17" t="s">
        <v>52</v>
      </c>
      <c r="P270" s="2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313</v>
      </c>
      <c r="B271" s="9" t="s">
        <v>18</v>
      </c>
      <c r="C271" s="9" t="s">
        <v>576</v>
      </c>
      <c r="D271" s="10" t="s">
        <v>13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26</v>
      </c>
      <c r="M271" s="10">
        <v>369.04</v>
      </c>
      <c r="N271" s="10" t="s">
        <v>79</v>
      </c>
      <c r="O271" s="12" t="s">
        <v>79</v>
      </c>
      <c r="P271" s="2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13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26</v>
      </c>
      <c r="M272" s="15">
        <v>696.38</v>
      </c>
      <c r="N272" s="10" t="s">
        <v>35</v>
      </c>
      <c r="O272" s="17" t="s">
        <v>30</v>
      </c>
      <c r="P272" s="2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10">
        <v>344.8</v>
      </c>
      <c r="N273" s="10" t="s">
        <v>35</v>
      </c>
      <c r="O273" s="12" t="s">
        <v>30</v>
      </c>
      <c r="P273" s="2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316</v>
      </c>
      <c r="B274" s="14" t="s">
        <v>12</v>
      </c>
      <c r="C274" s="14" t="s">
        <v>12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15">
        <v>399.72</v>
      </c>
      <c r="N274" s="10" t="s">
        <v>100</v>
      </c>
      <c r="O274" s="17" t="s">
        <v>65</v>
      </c>
      <c r="P274" s="2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317</v>
      </c>
      <c r="B275" s="9" t="s">
        <v>18</v>
      </c>
      <c r="C275" s="9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10">
        <v>627.20000000000005</v>
      </c>
      <c r="N275" s="10" t="s">
        <v>100</v>
      </c>
      <c r="O275" s="12" t="s">
        <v>100</v>
      </c>
      <c r="P275" s="2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15</v>
      </c>
      <c r="M276" s="15">
        <v>139.74</v>
      </c>
      <c r="N276" s="10" t="s">
        <v>100</v>
      </c>
      <c r="O276" s="17" t="s">
        <v>65</v>
      </c>
      <c r="P276" s="2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319</v>
      </c>
      <c r="B277" s="9" t="s">
        <v>29</v>
      </c>
      <c r="C277" s="9" t="s">
        <v>29</v>
      </c>
      <c r="D277" s="10" t="s">
        <v>13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15</v>
      </c>
      <c r="M277" s="10">
        <v>1369.07</v>
      </c>
      <c r="N277" s="10" t="s">
        <v>100</v>
      </c>
      <c r="O277" s="12" t="s">
        <v>100</v>
      </c>
      <c r="P277" s="2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320</v>
      </c>
      <c r="B278" s="14" t="s">
        <v>12</v>
      </c>
      <c r="C278" s="14" t="s">
        <v>12</v>
      </c>
      <c r="D278" s="15" t="s">
        <v>13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15">
        <v>620.79</v>
      </c>
      <c r="N278" s="10" t="s">
        <v>100</v>
      </c>
      <c r="O278" s="17" t="s">
        <v>63</v>
      </c>
      <c r="P278" s="2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321</v>
      </c>
      <c r="B279" s="9" t="s">
        <v>18</v>
      </c>
      <c r="C279" s="9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21</v>
      </c>
      <c r="M279" s="10">
        <v>436.28</v>
      </c>
      <c r="N279" s="10" t="s">
        <v>79</v>
      </c>
      <c r="O279" s="12" t="s">
        <v>22</v>
      </c>
      <c r="P279" s="2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15">
        <v>202.72</v>
      </c>
      <c r="N280" s="10" t="s">
        <v>79</v>
      </c>
      <c r="O280" s="17" t="s">
        <v>55</v>
      </c>
      <c r="P280" s="2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323</v>
      </c>
      <c r="B281" s="9" t="s">
        <v>29</v>
      </c>
      <c r="C281" s="9" t="s">
        <v>29</v>
      </c>
      <c r="D281" s="10" t="s">
        <v>13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10">
        <v>400.98</v>
      </c>
      <c r="N281" s="10" t="s">
        <v>27</v>
      </c>
      <c r="O281" s="12" t="s">
        <v>48</v>
      </c>
      <c r="P281" s="2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324</v>
      </c>
      <c r="B282" s="14" t="s">
        <v>12</v>
      </c>
      <c r="C282" s="14" t="s">
        <v>12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15">
        <v>139.09</v>
      </c>
      <c r="N282" s="10" t="s">
        <v>35</v>
      </c>
      <c r="O282" s="17" t="s">
        <v>58</v>
      </c>
      <c r="P282" s="2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325</v>
      </c>
      <c r="B283" s="9" t="s">
        <v>18</v>
      </c>
      <c r="C283" s="9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10">
        <v>533.01</v>
      </c>
      <c r="N283" s="10" t="s">
        <v>35</v>
      </c>
      <c r="O283" s="12" t="s">
        <v>30</v>
      </c>
      <c r="P283" s="2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26</v>
      </c>
      <c r="M284" s="15">
        <v>1118.01</v>
      </c>
      <c r="N284" s="10" t="s">
        <v>27</v>
      </c>
      <c r="O284" s="17" t="s">
        <v>27</v>
      </c>
      <c r="P284" s="2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10">
        <v>580.76</v>
      </c>
      <c r="N285" s="10" t="s">
        <v>79</v>
      </c>
      <c r="O285" s="12" t="s">
        <v>22</v>
      </c>
      <c r="P285" s="2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328</v>
      </c>
      <c r="B286" s="14" t="s">
        <v>12</v>
      </c>
      <c r="C286" s="14" t="s">
        <v>12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15">
        <v>362.96</v>
      </c>
      <c r="N286" s="10" t="s">
        <v>79</v>
      </c>
      <c r="O286" s="17" t="s">
        <v>22</v>
      </c>
      <c r="P286" s="2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329</v>
      </c>
      <c r="B287" s="9" t="s">
        <v>18</v>
      </c>
      <c r="C287" s="9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10">
        <v>289.24</v>
      </c>
      <c r="N287" s="10" t="s">
        <v>79</v>
      </c>
      <c r="O287" s="12" t="s">
        <v>22</v>
      </c>
      <c r="P287" s="2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13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15">
        <v>749.57</v>
      </c>
      <c r="N288" s="10" t="s">
        <v>16</v>
      </c>
      <c r="O288" s="17" t="s">
        <v>16</v>
      </c>
      <c r="P288" s="2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10">
        <v>262.82</v>
      </c>
      <c r="N289" s="10" t="s">
        <v>41</v>
      </c>
      <c r="O289" s="12" t="s">
        <v>68</v>
      </c>
      <c r="P289" s="2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332</v>
      </c>
      <c r="B290" s="14" t="s">
        <v>12</v>
      </c>
      <c r="C290" s="14" t="s">
        <v>12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15">
        <v>367.39</v>
      </c>
      <c r="N290" s="10" t="s">
        <v>35</v>
      </c>
      <c r="O290" s="17" t="s">
        <v>58</v>
      </c>
      <c r="P290" s="2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333</v>
      </c>
      <c r="B291" s="9" t="s">
        <v>18</v>
      </c>
      <c r="C291" s="9" t="s">
        <v>576</v>
      </c>
      <c r="D291" s="10" t="s">
        <v>13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10">
        <v>709.19</v>
      </c>
      <c r="N291" s="10" t="s">
        <v>41</v>
      </c>
      <c r="O291" s="12" t="s">
        <v>41</v>
      </c>
      <c r="P291" s="2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13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15</v>
      </c>
      <c r="M292" s="15">
        <v>442.59</v>
      </c>
      <c r="N292" s="10" t="s">
        <v>79</v>
      </c>
      <c r="O292" s="17" t="s">
        <v>79</v>
      </c>
      <c r="P292" s="2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10">
        <v>154.19</v>
      </c>
      <c r="N293" s="10" t="s">
        <v>35</v>
      </c>
      <c r="O293" s="12" t="s">
        <v>35</v>
      </c>
      <c r="P293" s="2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336</v>
      </c>
      <c r="B294" s="14" t="s">
        <v>12</v>
      </c>
      <c r="C294" s="14" t="s">
        <v>12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15">
        <v>753.91</v>
      </c>
      <c r="N294" s="10" t="s">
        <v>79</v>
      </c>
      <c r="O294" s="17" t="s">
        <v>55</v>
      </c>
      <c r="P294" s="2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337</v>
      </c>
      <c r="B295" s="9" t="s">
        <v>18</v>
      </c>
      <c r="C295" s="9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15</v>
      </c>
      <c r="M295" s="10">
        <v>324.74</v>
      </c>
      <c r="N295" s="10" t="s">
        <v>35</v>
      </c>
      <c r="O295" s="12" t="s">
        <v>58</v>
      </c>
      <c r="P295" s="2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13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26</v>
      </c>
      <c r="M296" s="15">
        <v>351.13</v>
      </c>
      <c r="N296" s="10" t="s">
        <v>41</v>
      </c>
      <c r="O296" s="17" t="s">
        <v>41</v>
      </c>
      <c r="P296" s="2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10">
        <v>263.39999999999998</v>
      </c>
      <c r="N297" s="10" t="s">
        <v>41</v>
      </c>
      <c r="O297" s="12" t="s">
        <v>44</v>
      </c>
      <c r="P297" s="2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340</v>
      </c>
      <c r="B298" s="14" t="s">
        <v>12</v>
      </c>
      <c r="C298" s="14" t="s">
        <v>12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15</v>
      </c>
      <c r="M298" s="15">
        <v>519.6</v>
      </c>
      <c r="N298" s="10" t="s">
        <v>41</v>
      </c>
      <c r="O298" s="17" t="s">
        <v>68</v>
      </c>
      <c r="P298" s="2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341</v>
      </c>
      <c r="B299" s="9" t="s">
        <v>18</v>
      </c>
      <c r="C299" s="9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10">
        <v>1102.6300000000001</v>
      </c>
      <c r="N299" s="10" t="s">
        <v>27</v>
      </c>
      <c r="O299" s="12" t="s">
        <v>27</v>
      </c>
      <c r="P299" s="2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13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15">
        <v>690.48</v>
      </c>
      <c r="N300" s="10" t="s">
        <v>41</v>
      </c>
      <c r="O300" s="17" t="s">
        <v>68</v>
      </c>
      <c r="P300" s="2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343</v>
      </c>
      <c r="B301" s="9" t="s">
        <v>29</v>
      </c>
      <c r="C301" s="9" t="s">
        <v>29</v>
      </c>
      <c r="D301" s="10" t="s">
        <v>13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10" t="s">
        <v>79</v>
      </c>
      <c r="O301" s="12" t="s">
        <v>79</v>
      </c>
      <c r="P301" s="2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344</v>
      </c>
      <c r="B302" s="14" t="s">
        <v>12</v>
      </c>
      <c r="C302" s="14" t="s">
        <v>12</v>
      </c>
      <c r="D302" s="15" t="s">
        <v>13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15">
        <v>424.14</v>
      </c>
      <c r="N302" s="10" t="s">
        <v>27</v>
      </c>
      <c r="O302" s="17" t="s">
        <v>27</v>
      </c>
      <c r="P302" s="2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345</v>
      </c>
      <c r="B303" s="9" t="s">
        <v>18</v>
      </c>
      <c r="C303" s="9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10" t="s">
        <v>100</v>
      </c>
      <c r="O303" s="12" t="s">
        <v>65</v>
      </c>
      <c r="P303" s="2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15">
        <v>125.52</v>
      </c>
      <c r="N304" s="10" t="s">
        <v>27</v>
      </c>
      <c r="O304" s="17" t="s">
        <v>48</v>
      </c>
      <c r="P304" s="2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15</v>
      </c>
      <c r="M305" s="10">
        <v>800.8</v>
      </c>
      <c r="N305" s="10" t="s">
        <v>79</v>
      </c>
      <c r="O305" s="12" t="s">
        <v>55</v>
      </c>
      <c r="P305" s="2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348</v>
      </c>
      <c r="B306" s="14" t="s">
        <v>12</v>
      </c>
      <c r="C306" s="14" t="s">
        <v>12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15">
        <v>117.22</v>
      </c>
      <c r="N306" s="10" t="s">
        <v>79</v>
      </c>
      <c r="O306" s="17" t="s">
        <v>22</v>
      </c>
      <c r="P306" s="2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349</v>
      </c>
      <c r="B307" s="9" t="s">
        <v>18</v>
      </c>
      <c r="C307" s="9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10">
        <v>491.84</v>
      </c>
      <c r="N307" s="10" t="s">
        <v>35</v>
      </c>
      <c r="O307" s="12" t="s">
        <v>35</v>
      </c>
      <c r="P307" s="2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15">
        <v>245.99</v>
      </c>
      <c r="N308" s="10" t="s">
        <v>27</v>
      </c>
      <c r="O308" s="17" t="s">
        <v>39</v>
      </c>
      <c r="P308" s="2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21</v>
      </c>
      <c r="M309" s="10">
        <v>665.8</v>
      </c>
      <c r="N309" s="10" t="s">
        <v>16</v>
      </c>
      <c r="O309" s="12" t="s">
        <v>95</v>
      </c>
      <c r="P309" s="2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352</v>
      </c>
      <c r="B310" s="14" t="s">
        <v>12</v>
      </c>
      <c r="C310" s="14" t="s">
        <v>12</v>
      </c>
      <c r="D310" s="15" t="s">
        <v>13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15">
        <v>362.88</v>
      </c>
      <c r="N310" s="10" t="s">
        <v>27</v>
      </c>
      <c r="O310" s="17" t="s">
        <v>48</v>
      </c>
      <c r="P310" s="2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353</v>
      </c>
      <c r="B311" s="9" t="s">
        <v>18</v>
      </c>
      <c r="C311" s="9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15</v>
      </c>
      <c r="M311" s="10">
        <v>234</v>
      </c>
      <c r="N311" s="10" t="s">
        <v>35</v>
      </c>
      <c r="O311" s="12" t="s">
        <v>30</v>
      </c>
      <c r="P311" s="2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15">
        <v>1033.49</v>
      </c>
      <c r="N312" s="10" t="s">
        <v>100</v>
      </c>
      <c r="O312" s="17" t="s">
        <v>100</v>
      </c>
      <c r="P312" s="2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15</v>
      </c>
      <c r="M313" s="10">
        <v>116.61</v>
      </c>
      <c r="N313" s="10" t="s">
        <v>79</v>
      </c>
      <c r="O313" s="12" t="s">
        <v>55</v>
      </c>
      <c r="P313" s="2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356</v>
      </c>
      <c r="B314" s="14" t="s">
        <v>12</v>
      </c>
      <c r="C314" s="14" t="s">
        <v>12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15">
        <v>309.11</v>
      </c>
      <c r="N314" s="10" t="s">
        <v>100</v>
      </c>
      <c r="O314" s="17" t="s">
        <v>63</v>
      </c>
      <c r="P314" s="2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357</v>
      </c>
      <c r="B315" s="9" t="s">
        <v>18</v>
      </c>
      <c r="C315" s="9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15</v>
      </c>
      <c r="M315" s="10">
        <v>237.24</v>
      </c>
      <c r="N315" s="10" t="s">
        <v>35</v>
      </c>
      <c r="O315" s="12" t="s">
        <v>58</v>
      </c>
      <c r="P315" s="2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13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15">
        <v>108.85</v>
      </c>
      <c r="N316" s="10" t="s">
        <v>35</v>
      </c>
      <c r="O316" s="17" t="s">
        <v>58</v>
      </c>
      <c r="P316" s="2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15</v>
      </c>
      <c r="M317" s="10">
        <v>24.31</v>
      </c>
      <c r="N317" s="10" t="s">
        <v>16</v>
      </c>
      <c r="O317" s="12" t="s">
        <v>95</v>
      </c>
      <c r="P317" s="2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360</v>
      </c>
      <c r="B318" s="14" t="s">
        <v>12</v>
      </c>
      <c r="C318" s="14" t="s">
        <v>12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15">
        <v>762.19</v>
      </c>
      <c r="N318" s="10" t="s">
        <v>79</v>
      </c>
      <c r="O318" s="17" t="s">
        <v>79</v>
      </c>
      <c r="P318" s="2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361</v>
      </c>
      <c r="B319" s="9" t="s">
        <v>18</v>
      </c>
      <c r="C319" s="9" t="s">
        <v>576</v>
      </c>
      <c r="D319" s="10" t="s">
        <v>13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10">
        <v>468.81</v>
      </c>
      <c r="N319" s="10" t="s">
        <v>100</v>
      </c>
      <c r="O319" s="12" t="s">
        <v>65</v>
      </c>
      <c r="P319" s="2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0" t="s">
        <v>35</v>
      </c>
      <c r="O320" s="17" t="s">
        <v>58</v>
      </c>
      <c r="P320" s="2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15</v>
      </c>
      <c r="M321" s="10">
        <v>697.79</v>
      </c>
      <c r="N321" s="10" t="s">
        <v>41</v>
      </c>
      <c r="O321" s="12" t="s">
        <v>41</v>
      </c>
      <c r="P321" s="2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364</v>
      </c>
      <c r="B322" s="14" t="s">
        <v>12</v>
      </c>
      <c r="C322" s="14" t="s">
        <v>12</v>
      </c>
      <c r="D322" s="15" t="s">
        <v>13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15">
        <v>226</v>
      </c>
      <c r="N322" s="10" t="s">
        <v>35</v>
      </c>
      <c r="O322" s="17" t="s">
        <v>58</v>
      </c>
      <c r="P322" s="2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365</v>
      </c>
      <c r="B323" s="9" t="s">
        <v>18</v>
      </c>
      <c r="C323" s="9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10">
        <v>126.14</v>
      </c>
      <c r="N323" s="10" t="s">
        <v>100</v>
      </c>
      <c r="O323" s="12" t="s">
        <v>100</v>
      </c>
      <c r="P323" s="2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26</v>
      </c>
      <c r="M324" s="15">
        <v>761.11</v>
      </c>
      <c r="N324" s="10" t="s">
        <v>41</v>
      </c>
      <c r="O324" s="17" t="s">
        <v>41</v>
      </c>
      <c r="P324" s="2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10">
        <v>159.93</v>
      </c>
      <c r="N325" s="10" t="s">
        <v>79</v>
      </c>
      <c r="O325" s="12" t="s">
        <v>22</v>
      </c>
      <c r="P325" s="2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368</v>
      </c>
      <c r="B326" s="14" t="s">
        <v>12</v>
      </c>
      <c r="C326" s="14" t="s">
        <v>12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15">
        <v>797.25</v>
      </c>
      <c r="N326" s="10" t="s">
        <v>16</v>
      </c>
      <c r="O326" s="17" t="s">
        <v>95</v>
      </c>
      <c r="P326" s="2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369</v>
      </c>
      <c r="B327" s="9" t="s">
        <v>18</v>
      </c>
      <c r="C327" s="9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10">
        <v>117.23</v>
      </c>
      <c r="N327" s="10" t="s">
        <v>79</v>
      </c>
      <c r="O327" s="12" t="s">
        <v>55</v>
      </c>
      <c r="P327" s="2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15">
        <v>100.03</v>
      </c>
      <c r="N328" s="10" t="s">
        <v>35</v>
      </c>
      <c r="O328" s="17" t="s">
        <v>35</v>
      </c>
      <c r="P328" s="2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10" t="s">
        <v>41</v>
      </c>
      <c r="O329" s="12" t="s">
        <v>44</v>
      </c>
      <c r="P329" s="2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372</v>
      </c>
      <c r="B330" s="14" t="s">
        <v>12</v>
      </c>
      <c r="C330" s="14" t="s">
        <v>12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15</v>
      </c>
      <c r="M330" s="15">
        <v>1155.56</v>
      </c>
      <c r="N330" s="10" t="s">
        <v>35</v>
      </c>
      <c r="O330" s="17" t="s">
        <v>58</v>
      </c>
      <c r="P330" s="2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373</v>
      </c>
      <c r="B331" s="9" t="s">
        <v>18</v>
      </c>
      <c r="C331" s="9" t="s">
        <v>576</v>
      </c>
      <c r="D331" s="10" t="s">
        <v>13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10">
        <v>902.41</v>
      </c>
      <c r="N331" s="10" t="s">
        <v>79</v>
      </c>
      <c r="O331" s="12" t="s">
        <v>79</v>
      </c>
      <c r="P331" s="2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15">
        <v>63.14</v>
      </c>
      <c r="N332" s="10" t="s">
        <v>79</v>
      </c>
      <c r="O332" s="17" t="s">
        <v>55</v>
      </c>
      <c r="P332" s="2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15</v>
      </c>
      <c r="M333" s="10">
        <v>217.76</v>
      </c>
      <c r="N333" s="10" t="s">
        <v>16</v>
      </c>
      <c r="O333" s="12" t="s">
        <v>16</v>
      </c>
      <c r="P333" s="2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376</v>
      </c>
      <c r="B334" s="14" t="s">
        <v>12</v>
      </c>
      <c r="C334" s="14" t="s">
        <v>12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15">
        <v>925.54</v>
      </c>
      <c r="N334" s="10" t="s">
        <v>41</v>
      </c>
      <c r="O334" s="17" t="s">
        <v>44</v>
      </c>
      <c r="P334" s="2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377</v>
      </c>
      <c r="B335" s="9" t="s">
        <v>18</v>
      </c>
      <c r="C335" s="9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10">
        <v>388.34</v>
      </c>
      <c r="N335" s="10" t="s">
        <v>79</v>
      </c>
      <c r="O335" s="12" t="s">
        <v>55</v>
      </c>
      <c r="P335" s="2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15">
        <v>117.57</v>
      </c>
      <c r="N336" s="10" t="s">
        <v>100</v>
      </c>
      <c r="O336" s="17" t="s">
        <v>100</v>
      </c>
      <c r="P336" s="2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21</v>
      </c>
      <c r="M337" s="10">
        <v>48.42</v>
      </c>
      <c r="N337" s="10" t="s">
        <v>100</v>
      </c>
      <c r="O337" s="12" t="s">
        <v>100</v>
      </c>
      <c r="P337" s="2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380</v>
      </c>
      <c r="B338" s="14" t="s">
        <v>12</v>
      </c>
      <c r="C338" s="14" t="s">
        <v>12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15">
        <v>536.41999999999996</v>
      </c>
      <c r="N338" s="10" t="s">
        <v>16</v>
      </c>
      <c r="O338" s="17" t="s">
        <v>16</v>
      </c>
      <c r="P338" s="2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381</v>
      </c>
      <c r="B339" s="9" t="s">
        <v>18</v>
      </c>
      <c r="C339" s="9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15</v>
      </c>
      <c r="M339" s="10">
        <v>370.75</v>
      </c>
      <c r="N339" s="10" t="s">
        <v>100</v>
      </c>
      <c r="O339" s="12" t="s">
        <v>63</v>
      </c>
      <c r="P339" s="2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15">
        <v>310.11</v>
      </c>
      <c r="N340" s="10" t="s">
        <v>27</v>
      </c>
      <c r="O340" s="17" t="s">
        <v>48</v>
      </c>
      <c r="P340" s="2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10">
        <v>25.28</v>
      </c>
      <c r="N341" s="10" t="s">
        <v>79</v>
      </c>
      <c r="O341" s="12" t="s">
        <v>55</v>
      </c>
      <c r="P341" s="2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384</v>
      </c>
      <c r="B342" s="14" t="s">
        <v>12</v>
      </c>
      <c r="C342" s="14" t="s">
        <v>12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15">
        <v>270.22000000000003</v>
      </c>
      <c r="N342" s="10" t="s">
        <v>35</v>
      </c>
      <c r="O342" s="17" t="s">
        <v>30</v>
      </c>
      <c r="P342" s="2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385</v>
      </c>
      <c r="B343" s="9" t="s">
        <v>18</v>
      </c>
      <c r="C343" s="9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10">
        <v>581.83000000000004</v>
      </c>
      <c r="N343" s="10" t="s">
        <v>79</v>
      </c>
      <c r="O343" s="12" t="s">
        <v>55</v>
      </c>
      <c r="P343" s="2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26</v>
      </c>
      <c r="M344" s="15">
        <v>314.73</v>
      </c>
      <c r="N344" s="10" t="s">
        <v>35</v>
      </c>
      <c r="O344" s="17" t="s">
        <v>30</v>
      </c>
      <c r="P344" s="2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387</v>
      </c>
      <c r="B345" s="9" t="s">
        <v>29</v>
      </c>
      <c r="C345" s="9" t="s">
        <v>29</v>
      </c>
      <c r="D345" s="10" t="s">
        <v>13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10">
        <v>413.97</v>
      </c>
      <c r="N345" s="10" t="s">
        <v>16</v>
      </c>
      <c r="O345" s="12" t="s">
        <v>52</v>
      </c>
      <c r="P345" s="2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388</v>
      </c>
      <c r="B346" s="14" t="s">
        <v>12</v>
      </c>
      <c r="C346" s="14" t="s">
        <v>12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0" t="s">
        <v>16</v>
      </c>
      <c r="O346" s="17" t="s">
        <v>95</v>
      </c>
      <c r="P346" s="2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389</v>
      </c>
      <c r="B347" s="9" t="s">
        <v>18</v>
      </c>
      <c r="C347" s="9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15</v>
      </c>
      <c r="M347" s="10">
        <v>448.63</v>
      </c>
      <c r="N347" s="10" t="s">
        <v>35</v>
      </c>
      <c r="O347" s="12" t="s">
        <v>58</v>
      </c>
      <c r="P347" s="2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15">
        <v>300.73</v>
      </c>
      <c r="N348" s="10" t="s">
        <v>16</v>
      </c>
      <c r="O348" s="17" t="s">
        <v>52</v>
      </c>
      <c r="P348" s="2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391</v>
      </c>
      <c r="B349" s="9" t="s">
        <v>29</v>
      </c>
      <c r="C349" s="9" t="s">
        <v>29</v>
      </c>
      <c r="D349" s="10" t="s">
        <v>13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15</v>
      </c>
      <c r="M349" s="10">
        <v>347.16</v>
      </c>
      <c r="N349" s="10" t="s">
        <v>41</v>
      </c>
      <c r="O349" s="12" t="s">
        <v>44</v>
      </c>
      <c r="P349" s="2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392</v>
      </c>
      <c r="B350" s="14" t="s">
        <v>12</v>
      </c>
      <c r="C350" s="14" t="s">
        <v>12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26</v>
      </c>
      <c r="M350" s="15">
        <v>161.51</v>
      </c>
      <c r="N350" s="10" t="s">
        <v>16</v>
      </c>
      <c r="O350" s="17" t="s">
        <v>16</v>
      </c>
      <c r="P350" s="2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393</v>
      </c>
      <c r="B351" s="9" t="s">
        <v>18</v>
      </c>
      <c r="C351" s="9" t="s">
        <v>576</v>
      </c>
      <c r="D351" s="10" t="s">
        <v>13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10">
        <v>46.99</v>
      </c>
      <c r="N351" s="10" t="s">
        <v>100</v>
      </c>
      <c r="O351" s="12" t="s">
        <v>63</v>
      </c>
      <c r="P351" s="2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0" t="s">
        <v>27</v>
      </c>
      <c r="O352" s="17" t="s">
        <v>27</v>
      </c>
      <c r="P352" s="2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15</v>
      </c>
      <c r="M353" s="10">
        <v>289</v>
      </c>
      <c r="N353" s="10" t="s">
        <v>79</v>
      </c>
      <c r="O353" s="12" t="s">
        <v>79</v>
      </c>
      <c r="P353" s="2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396</v>
      </c>
      <c r="B354" s="14" t="s">
        <v>12</v>
      </c>
      <c r="C354" s="14" t="s">
        <v>12</v>
      </c>
      <c r="D354" s="15" t="s">
        <v>13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15">
        <v>251.49</v>
      </c>
      <c r="N354" s="10" t="s">
        <v>79</v>
      </c>
      <c r="O354" s="17" t="s">
        <v>55</v>
      </c>
      <c r="P354" s="2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397</v>
      </c>
      <c r="B355" s="9" t="s">
        <v>18</v>
      </c>
      <c r="C355" s="9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26</v>
      </c>
      <c r="M355" s="10">
        <v>399.43</v>
      </c>
      <c r="N355" s="10" t="s">
        <v>100</v>
      </c>
      <c r="O355" s="12" t="s">
        <v>100</v>
      </c>
      <c r="P355" s="2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0" t="s">
        <v>100</v>
      </c>
      <c r="O356" s="17" t="s">
        <v>100</v>
      </c>
      <c r="P356" s="2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21</v>
      </c>
      <c r="M357" s="10">
        <v>197.89</v>
      </c>
      <c r="N357" s="10" t="s">
        <v>16</v>
      </c>
      <c r="O357" s="12" t="s">
        <v>95</v>
      </c>
      <c r="P357" s="2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400</v>
      </c>
      <c r="B358" s="14" t="s">
        <v>12</v>
      </c>
      <c r="C358" s="14" t="s">
        <v>12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0" t="s">
        <v>16</v>
      </c>
      <c r="O358" s="17" t="s">
        <v>52</v>
      </c>
      <c r="P358" s="2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401</v>
      </c>
      <c r="B359" s="9" t="s">
        <v>18</v>
      </c>
      <c r="C359" s="9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15</v>
      </c>
      <c r="M359" s="10">
        <v>743.04</v>
      </c>
      <c r="N359" s="10" t="s">
        <v>27</v>
      </c>
      <c r="O359" s="12" t="s">
        <v>27</v>
      </c>
      <c r="P359" s="2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15</v>
      </c>
      <c r="M360" s="15">
        <v>315.05</v>
      </c>
      <c r="N360" s="10" t="s">
        <v>79</v>
      </c>
      <c r="O360" s="17" t="s">
        <v>79</v>
      </c>
      <c r="P360" s="2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10">
        <v>88.73</v>
      </c>
      <c r="N361" s="10" t="s">
        <v>100</v>
      </c>
      <c r="O361" s="12" t="s">
        <v>100</v>
      </c>
      <c r="P361" s="2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404</v>
      </c>
      <c r="B362" s="14" t="s">
        <v>12</v>
      </c>
      <c r="C362" s="14" t="s">
        <v>12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15">
        <v>319.61</v>
      </c>
      <c r="N362" s="10" t="s">
        <v>79</v>
      </c>
      <c r="O362" s="17" t="s">
        <v>55</v>
      </c>
      <c r="P362" s="2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405</v>
      </c>
      <c r="B363" s="9" t="s">
        <v>18</v>
      </c>
      <c r="C363" s="9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10">
        <v>466.97</v>
      </c>
      <c r="N363" s="10" t="s">
        <v>27</v>
      </c>
      <c r="O363" s="12" t="s">
        <v>27</v>
      </c>
      <c r="P363" s="2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15</v>
      </c>
      <c r="M364" s="15">
        <v>843.52</v>
      </c>
      <c r="N364" s="10" t="s">
        <v>100</v>
      </c>
      <c r="O364" s="17" t="s">
        <v>63</v>
      </c>
      <c r="P364" s="2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10">
        <v>156.33000000000001</v>
      </c>
      <c r="N365" s="10" t="s">
        <v>79</v>
      </c>
      <c r="O365" s="12" t="s">
        <v>22</v>
      </c>
      <c r="P365" s="2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408</v>
      </c>
      <c r="B366" s="14" t="s">
        <v>12</v>
      </c>
      <c r="C366" s="14" t="s">
        <v>12</v>
      </c>
      <c r="D366" s="15" t="s">
        <v>13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15">
        <v>298.56</v>
      </c>
      <c r="N366" s="10" t="s">
        <v>27</v>
      </c>
      <c r="O366" s="17" t="s">
        <v>27</v>
      </c>
      <c r="P366" s="2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409</v>
      </c>
      <c r="B367" s="9" t="s">
        <v>18</v>
      </c>
      <c r="C367" s="9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15</v>
      </c>
      <c r="M367" s="10">
        <v>482.97</v>
      </c>
      <c r="N367" s="10" t="s">
        <v>16</v>
      </c>
      <c r="O367" s="12" t="s">
        <v>95</v>
      </c>
      <c r="P367" s="2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0" t="s">
        <v>35</v>
      </c>
      <c r="O368" s="17" t="s">
        <v>58</v>
      </c>
      <c r="P368" s="2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411</v>
      </c>
      <c r="B369" s="9" t="s">
        <v>29</v>
      </c>
      <c r="C369" s="9" t="s">
        <v>29</v>
      </c>
      <c r="D369" s="10" t="s">
        <v>13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15</v>
      </c>
      <c r="M369" s="10">
        <v>664.27</v>
      </c>
      <c r="N369" s="10" t="s">
        <v>100</v>
      </c>
      <c r="O369" s="12" t="s">
        <v>63</v>
      </c>
      <c r="P369" s="2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412</v>
      </c>
      <c r="B370" s="14" t="s">
        <v>12</v>
      </c>
      <c r="C370" s="14" t="s">
        <v>12</v>
      </c>
      <c r="D370" s="15" t="s">
        <v>13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15</v>
      </c>
      <c r="M370" s="15">
        <v>278.14999999999998</v>
      </c>
      <c r="N370" s="10" t="s">
        <v>79</v>
      </c>
      <c r="O370" s="17" t="s">
        <v>55</v>
      </c>
      <c r="P370" s="2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413</v>
      </c>
      <c r="B371" s="9" t="s">
        <v>18</v>
      </c>
      <c r="C371" s="9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26</v>
      </c>
      <c r="M371" s="10">
        <v>354.91</v>
      </c>
      <c r="N371" s="10" t="s">
        <v>100</v>
      </c>
      <c r="O371" s="12" t="s">
        <v>65</v>
      </c>
      <c r="P371" s="2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13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0" t="s">
        <v>41</v>
      </c>
      <c r="O372" s="17" t="s">
        <v>68</v>
      </c>
      <c r="P372" s="2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415</v>
      </c>
      <c r="B373" s="9" t="s">
        <v>29</v>
      </c>
      <c r="C373" s="9" t="s">
        <v>29</v>
      </c>
      <c r="D373" s="10" t="s">
        <v>13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10">
        <v>318.77</v>
      </c>
      <c r="N373" s="10" t="s">
        <v>41</v>
      </c>
      <c r="O373" s="12" t="s">
        <v>41</v>
      </c>
      <c r="P373" s="2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416</v>
      </c>
      <c r="B374" s="14" t="s">
        <v>12</v>
      </c>
      <c r="C374" s="14" t="s">
        <v>12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15">
        <v>455.08</v>
      </c>
      <c r="N374" s="10" t="s">
        <v>16</v>
      </c>
      <c r="O374" s="17" t="s">
        <v>16</v>
      </c>
      <c r="P374" s="2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417</v>
      </c>
      <c r="B375" s="9" t="s">
        <v>18</v>
      </c>
      <c r="C375" s="9" t="s">
        <v>576</v>
      </c>
      <c r="D375" s="10" t="s">
        <v>13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15</v>
      </c>
      <c r="M375" s="10">
        <v>116.53</v>
      </c>
      <c r="N375" s="10" t="s">
        <v>35</v>
      </c>
      <c r="O375" s="12" t="s">
        <v>35</v>
      </c>
      <c r="P375" s="2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26</v>
      </c>
      <c r="M376" s="15">
        <v>181.06</v>
      </c>
      <c r="N376" s="10" t="s">
        <v>100</v>
      </c>
      <c r="O376" s="17" t="s">
        <v>100</v>
      </c>
      <c r="P376" s="2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10">
        <v>736.04</v>
      </c>
      <c r="N377" s="10" t="s">
        <v>100</v>
      </c>
      <c r="O377" s="12" t="s">
        <v>65</v>
      </c>
      <c r="P377" s="2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420</v>
      </c>
      <c r="B378" s="14" t="s">
        <v>12</v>
      </c>
      <c r="C378" s="14" t="s">
        <v>12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0" t="s">
        <v>41</v>
      </c>
      <c r="O378" s="17" t="s">
        <v>41</v>
      </c>
      <c r="P378" s="2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421</v>
      </c>
      <c r="B379" s="9" t="s">
        <v>18</v>
      </c>
      <c r="C379" s="9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10">
        <v>635.94000000000005</v>
      </c>
      <c r="N379" s="10" t="s">
        <v>27</v>
      </c>
      <c r="O379" s="12" t="s">
        <v>48</v>
      </c>
      <c r="P379" s="2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0" t="s">
        <v>100</v>
      </c>
      <c r="O380" s="17" t="s">
        <v>65</v>
      </c>
      <c r="P380" s="2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10" t="s">
        <v>100</v>
      </c>
      <c r="O381" s="12" t="s">
        <v>65</v>
      </c>
      <c r="P381" s="2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424</v>
      </c>
      <c r="B382" s="14" t="s">
        <v>12</v>
      </c>
      <c r="C382" s="14" t="s">
        <v>12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21</v>
      </c>
      <c r="M382" s="15">
        <v>477.12</v>
      </c>
      <c r="N382" s="10" t="s">
        <v>35</v>
      </c>
      <c r="O382" s="17" t="s">
        <v>35</v>
      </c>
      <c r="P382" s="2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425</v>
      </c>
      <c r="B383" s="9" t="s">
        <v>18</v>
      </c>
      <c r="C383" s="9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10" t="s">
        <v>79</v>
      </c>
      <c r="O383" s="12" t="s">
        <v>79</v>
      </c>
      <c r="P383" s="2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15">
        <v>96.16</v>
      </c>
      <c r="N384" s="10" t="s">
        <v>27</v>
      </c>
      <c r="O384" s="17" t="s">
        <v>39</v>
      </c>
      <c r="P384" s="2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10">
        <v>274.62</v>
      </c>
      <c r="N385" s="10" t="s">
        <v>79</v>
      </c>
      <c r="O385" s="12" t="s">
        <v>55</v>
      </c>
      <c r="P385" s="2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428</v>
      </c>
      <c r="B386" s="14" t="s">
        <v>12</v>
      </c>
      <c r="C386" s="14" t="s">
        <v>12</v>
      </c>
      <c r="D386" s="15" t="s">
        <v>13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15">
        <v>268.52999999999997</v>
      </c>
      <c r="N386" s="10" t="s">
        <v>16</v>
      </c>
      <c r="O386" s="17" t="s">
        <v>16</v>
      </c>
      <c r="P386" s="2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429</v>
      </c>
      <c r="B387" s="9" t="s">
        <v>18</v>
      </c>
      <c r="C387" s="9" t="s">
        <v>576</v>
      </c>
      <c r="D387" s="10" t="s">
        <v>13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10">
        <v>223.02</v>
      </c>
      <c r="N387" s="10" t="s">
        <v>79</v>
      </c>
      <c r="O387" s="12" t="s">
        <v>79</v>
      </c>
      <c r="P387" s="2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13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15">
        <v>234.09</v>
      </c>
      <c r="N388" s="10" t="s">
        <v>16</v>
      </c>
      <c r="O388" s="17" t="s">
        <v>16</v>
      </c>
      <c r="P388" s="2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10">
        <v>190.23</v>
      </c>
      <c r="N389" s="10" t="s">
        <v>35</v>
      </c>
      <c r="O389" s="12" t="s">
        <v>30</v>
      </c>
      <c r="P389" s="2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432</v>
      </c>
      <c r="B390" s="14" t="s">
        <v>12</v>
      </c>
      <c r="C390" s="14" t="s">
        <v>12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21</v>
      </c>
      <c r="M390" s="15">
        <v>666.29</v>
      </c>
      <c r="N390" s="10" t="s">
        <v>16</v>
      </c>
      <c r="O390" s="17" t="s">
        <v>95</v>
      </c>
      <c r="P390" s="2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433</v>
      </c>
      <c r="B391" s="9" t="s">
        <v>18</v>
      </c>
      <c r="C391" s="9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10">
        <v>233.82</v>
      </c>
      <c r="N391" s="10" t="s">
        <v>27</v>
      </c>
      <c r="O391" s="12" t="s">
        <v>27</v>
      </c>
      <c r="P391" s="2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15</v>
      </c>
      <c r="M392" s="15">
        <v>447.64</v>
      </c>
      <c r="N392" s="10" t="s">
        <v>35</v>
      </c>
      <c r="O392" s="17" t="s">
        <v>58</v>
      </c>
      <c r="P392" s="2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435</v>
      </c>
      <c r="B393" s="9" t="s">
        <v>29</v>
      </c>
      <c r="C393" s="9" t="s">
        <v>29</v>
      </c>
      <c r="D393" s="10" t="s">
        <v>13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21</v>
      </c>
      <c r="M393" s="10">
        <v>632.89</v>
      </c>
      <c r="N393" s="10" t="s">
        <v>100</v>
      </c>
      <c r="O393" s="12" t="s">
        <v>63</v>
      </c>
      <c r="P393" s="2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436</v>
      </c>
      <c r="B394" s="14" t="s">
        <v>12</v>
      </c>
      <c r="C394" s="14" t="s">
        <v>12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21</v>
      </c>
      <c r="M394" s="15">
        <v>513.26</v>
      </c>
      <c r="N394" s="10" t="s">
        <v>41</v>
      </c>
      <c r="O394" s="17" t="s">
        <v>68</v>
      </c>
      <c r="P394" s="2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437</v>
      </c>
      <c r="B395" s="9" t="s">
        <v>18</v>
      </c>
      <c r="C395" s="9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26</v>
      </c>
      <c r="M395" s="10">
        <v>431.14</v>
      </c>
      <c r="N395" s="10" t="s">
        <v>100</v>
      </c>
      <c r="O395" s="12" t="s">
        <v>63</v>
      </c>
      <c r="P395" s="2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15">
        <v>275.87</v>
      </c>
      <c r="N396" s="10" t="s">
        <v>35</v>
      </c>
      <c r="O396" s="17" t="s">
        <v>30</v>
      </c>
      <c r="P396" s="2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10">
        <v>547.59</v>
      </c>
      <c r="N397" s="10" t="s">
        <v>27</v>
      </c>
      <c r="O397" s="12" t="s">
        <v>48</v>
      </c>
      <c r="P397" s="2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440</v>
      </c>
      <c r="B398" s="14" t="s">
        <v>12</v>
      </c>
      <c r="C398" s="14" t="s">
        <v>12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15">
        <v>367.48</v>
      </c>
      <c r="N398" s="10" t="s">
        <v>79</v>
      </c>
      <c r="O398" s="17" t="s">
        <v>22</v>
      </c>
      <c r="P398" s="2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441</v>
      </c>
      <c r="B399" s="9" t="s">
        <v>18</v>
      </c>
      <c r="C399" s="9" t="s">
        <v>576</v>
      </c>
      <c r="D399" s="10" t="s">
        <v>13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10">
        <v>66.31</v>
      </c>
      <c r="N399" s="10" t="s">
        <v>27</v>
      </c>
      <c r="O399" s="12" t="s">
        <v>39</v>
      </c>
      <c r="P399" s="2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21</v>
      </c>
      <c r="M400" s="15">
        <v>653.08000000000004</v>
      </c>
      <c r="N400" s="10" t="s">
        <v>35</v>
      </c>
      <c r="O400" s="17" t="s">
        <v>30</v>
      </c>
      <c r="P400" s="2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10">
        <v>484.92</v>
      </c>
      <c r="N401" s="10" t="s">
        <v>16</v>
      </c>
      <c r="O401" s="12" t="s">
        <v>52</v>
      </c>
      <c r="P401" s="2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444</v>
      </c>
      <c r="B402" s="14" t="s">
        <v>12</v>
      </c>
      <c r="C402" s="14" t="s">
        <v>12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21</v>
      </c>
      <c r="M402" s="15">
        <v>476.38</v>
      </c>
      <c r="N402" s="10" t="s">
        <v>79</v>
      </c>
      <c r="O402" s="17" t="s">
        <v>55</v>
      </c>
      <c r="P402" s="2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445</v>
      </c>
      <c r="B403" s="9" t="s">
        <v>18</v>
      </c>
      <c r="C403" s="9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15</v>
      </c>
      <c r="M403" s="10">
        <v>339.95</v>
      </c>
      <c r="N403" s="10" t="s">
        <v>41</v>
      </c>
      <c r="O403" s="12" t="s">
        <v>68</v>
      </c>
      <c r="P403" s="2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0" t="s">
        <v>79</v>
      </c>
      <c r="O404" s="17" t="s">
        <v>79</v>
      </c>
      <c r="P404" s="2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447</v>
      </c>
      <c r="B405" s="9" t="s">
        <v>29</v>
      </c>
      <c r="C405" s="9" t="s">
        <v>29</v>
      </c>
      <c r="D405" s="10" t="s">
        <v>13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15</v>
      </c>
      <c r="M405" s="10">
        <v>300.44</v>
      </c>
      <c r="N405" s="10" t="s">
        <v>16</v>
      </c>
      <c r="O405" s="12" t="s">
        <v>95</v>
      </c>
      <c r="P405" s="2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448</v>
      </c>
      <c r="B406" s="14" t="s">
        <v>12</v>
      </c>
      <c r="C406" s="14" t="s">
        <v>12</v>
      </c>
      <c r="D406" s="15" t="s">
        <v>13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26</v>
      </c>
      <c r="M406" s="15">
        <v>138.59</v>
      </c>
      <c r="N406" s="10" t="s">
        <v>79</v>
      </c>
      <c r="O406" s="17" t="s">
        <v>79</v>
      </c>
      <c r="P406" s="2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449</v>
      </c>
      <c r="B407" s="9" t="s">
        <v>18</v>
      </c>
      <c r="C407" s="9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10">
        <v>398.59</v>
      </c>
      <c r="N407" s="10" t="s">
        <v>16</v>
      </c>
      <c r="O407" s="12" t="s">
        <v>52</v>
      </c>
      <c r="P407" s="2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15">
        <v>658.39</v>
      </c>
      <c r="N408" s="10" t="s">
        <v>100</v>
      </c>
      <c r="O408" s="17" t="s">
        <v>100</v>
      </c>
      <c r="P408" s="2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10">
        <v>240.4</v>
      </c>
      <c r="N409" s="10" t="s">
        <v>27</v>
      </c>
      <c r="O409" s="12" t="s">
        <v>27</v>
      </c>
      <c r="P409" s="2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452</v>
      </c>
      <c r="B410" s="14" t="s">
        <v>12</v>
      </c>
      <c r="C410" s="14" t="s">
        <v>12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15">
        <v>160.11000000000001</v>
      </c>
      <c r="N410" s="10" t="s">
        <v>27</v>
      </c>
      <c r="O410" s="17" t="s">
        <v>27</v>
      </c>
      <c r="P410" s="2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453</v>
      </c>
      <c r="B411" s="9" t="s">
        <v>18</v>
      </c>
      <c r="C411" s="9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10">
        <v>1145.5</v>
      </c>
      <c r="N411" s="10" t="s">
        <v>16</v>
      </c>
      <c r="O411" s="12" t="s">
        <v>52</v>
      </c>
      <c r="P411" s="2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0" t="s">
        <v>100</v>
      </c>
      <c r="O412" s="17" t="s">
        <v>65</v>
      </c>
      <c r="P412" s="2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10">
        <v>199.91</v>
      </c>
      <c r="N413" s="10" t="s">
        <v>16</v>
      </c>
      <c r="O413" s="12" t="s">
        <v>52</v>
      </c>
      <c r="P413" s="2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456</v>
      </c>
      <c r="B414" s="14" t="s">
        <v>12</v>
      </c>
      <c r="C414" s="14" t="s">
        <v>12</v>
      </c>
      <c r="D414" s="15" t="s">
        <v>13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15">
        <v>321.3</v>
      </c>
      <c r="N414" s="10" t="s">
        <v>79</v>
      </c>
      <c r="O414" s="17" t="s">
        <v>55</v>
      </c>
      <c r="P414" s="2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457</v>
      </c>
      <c r="B415" s="9" t="s">
        <v>18</v>
      </c>
      <c r="C415" s="9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10">
        <v>369.36</v>
      </c>
      <c r="N415" s="10" t="s">
        <v>27</v>
      </c>
      <c r="O415" s="12" t="s">
        <v>39</v>
      </c>
      <c r="P415" s="2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15">
        <v>1318.47</v>
      </c>
      <c r="N416" s="10" t="s">
        <v>27</v>
      </c>
      <c r="O416" s="17" t="s">
        <v>48</v>
      </c>
      <c r="P416" s="2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15</v>
      </c>
      <c r="M417" s="10">
        <v>954.08</v>
      </c>
      <c r="N417" s="10" t="s">
        <v>41</v>
      </c>
      <c r="O417" s="12" t="s">
        <v>68</v>
      </c>
      <c r="P417" s="2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460</v>
      </c>
      <c r="B418" s="14" t="s">
        <v>12</v>
      </c>
      <c r="C418" s="14" t="s">
        <v>12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15">
        <v>124.67</v>
      </c>
      <c r="N418" s="10" t="s">
        <v>16</v>
      </c>
      <c r="O418" s="17" t="s">
        <v>52</v>
      </c>
      <c r="P418" s="2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461</v>
      </c>
      <c r="B419" s="9" t="s">
        <v>18</v>
      </c>
      <c r="C419" s="9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10">
        <v>1157.1600000000001</v>
      </c>
      <c r="N419" s="10" t="s">
        <v>35</v>
      </c>
      <c r="O419" s="12" t="s">
        <v>35</v>
      </c>
      <c r="P419" s="2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15">
        <v>66.28</v>
      </c>
      <c r="N420" s="10" t="s">
        <v>100</v>
      </c>
      <c r="O420" s="17" t="s">
        <v>63</v>
      </c>
      <c r="P420" s="2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10">
        <v>256.22000000000003</v>
      </c>
      <c r="N421" s="10" t="s">
        <v>16</v>
      </c>
      <c r="O421" s="12" t="s">
        <v>52</v>
      </c>
      <c r="P421" s="2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464</v>
      </c>
      <c r="B422" s="14" t="s">
        <v>12</v>
      </c>
      <c r="C422" s="14" t="s">
        <v>12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0" t="s">
        <v>100</v>
      </c>
      <c r="O422" s="17" t="s">
        <v>63</v>
      </c>
      <c r="P422" s="2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465</v>
      </c>
      <c r="B423" s="9" t="s">
        <v>18</v>
      </c>
      <c r="C423" s="9" t="s">
        <v>576</v>
      </c>
      <c r="D423" s="10" t="s">
        <v>13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26</v>
      </c>
      <c r="M423" s="10">
        <v>1006.56</v>
      </c>
      <c r="N423" s="10" t="s">
        <v>79</v>
      </c>
      <c r="O423" s="12" t="s">
        <v>79</v>
      </c>
      <c r="P423" s="2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15">
        <v>689.37</v>
      </c>
      <c r="N424" s="10" t="s">
        <v>100</v>
      </c>
      <c r="O424" s="17" t="s">
        <v>63</v>
      </c>
      <c r="P424" s="2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10" t="s">
        <v>16</v>
      </c>
      <c r="O425" s="12" t="s">
        <v>16</v>
      </c>
      <c r="P425" s="2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468</v>
      </c>
      <c r="B426" s="14" t="s">
        <v>12</v>
      </c>
      <c r="C426" s="14" t="s">
        <v>12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15">
        <v>84.32</v>
      </c>
      <c r="N426" s="10" t="s">
        <v>35</v>
      </c>
      <c r="O426" s="17" t="s">
        <v>35</v>
      </c>
      <c r="P426" s="2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469</v>
      </c>
      <c r="B427" s="9" t="s">
        <v>18</v>
      </c>
      <c r="C427" s="9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21</v>
      </c>
      <c r="M427" s="10">
        <v>1237.73</v>
      </c>
      <c r="N427" s="10" t="s">
        <v>100</v>
      </c>
      <c r="O427" s="12" t="s">
        <v>63</v>
      </c>
      <c r="P427" s="2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15">
        <v>954.37</v>
      </c>
      <c r="N428" s="10" t="s">
        <v>79</v>
      </c>
      <c r="O428" s="17" t="s">
        <v>55</v>
      </c>
      <c r="P428" s="2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26</v>
      </c>
      <c r="M429" s="10">
        <v>162.33000000000001</v>
      </c>
      <c r="N429" s="10" t="s">
        <v>79</v>
      </c>
      <c r="O429" s="12" t="s">
        <v>22</v>
      </c>
      <c r="P429" s="2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472</v>
      </c>
      <c r="B430" s="14" t="s">
        <v>12</v>
      </c>
      <c r="C430" s="14" t="s">
        <v>12</v>
      </c>
      <c r="D430" s="15" t="s">
        <v>13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15</v>
      </c>
      <c r="M430" s="15">
        <v>639.24</v>
      </c>
      <c r="N430" s="10" t="s">
        <v>79</v>
      </c>
      <c r="O430" s="17" t="s">
        <v>79</v>
      </c>
      <c r="P430" s="2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473</v>
      </c>
      <c r="B431" s="9" t="s">
        <v>18</v>
      </c>
      <c r="C431" s="9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10">
        <v>872.99</v>
      </c>
      <c r="N431" s="10" t="s">
        <v>16</v>
      </c>
      <c r="O431" s="12" t="s">
        <v>52</v>
      </c>
      <c r="P431" s="2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26</v>
      </c>
      <c r="M432" s="15">
        <v>558.38</v>
      </c>
      <c r="N432" s="10" t="s">
        <v>27</v>
      </c>
      <c r="O432" s="17" t="s">
        <v>39</v>
      </c>
      <c r="P432" s="2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15</v>
      </c>
      <c r="M433" s="10">
        <v>728.97</v>
      </c>
      <c r="N433" s="10" t="s">
        <v>16</v>
      </c>
      <c r="O433" s="12" t="s">
        <v>95</v>
      </c>
      <c r="P433" s="2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476</v>
      </c>
      <c r="B434" s="14" t="s">
        <v>12</v>
      </c>
      <c r="C434" s="14" t="s">
        <v>12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15</v>
      </c>
      <c r="M434" s="15">
        <v>920.08</v>
      </c>
      <c r="N434" s="10" t="s">
        <v>41</v>
      </c>
      <c r="O434" s="17" t="s">
        <v>44</v>
      </c>
      <c r="P434" s="2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477</v>
      </c>
      <c r="B435" s="9" t="s">
        <v>18</v>
      </c>
      <c r="C435" s="9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10">
        <v>45.46</v>
      </c>
      <c r="N435" s="10" t="s">
        <v>41</v>
      </c>
      <c r="O435" s="12" t="s">
        <v>44</v>
      </c>
      <c r="P435" s="2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15">
        <v>628.74</v>
      </c>
      <c r="N436" s="10" t="s">
        <v>100</v>
      </c>
      <c r="O436" s="17" t="s">
        <v>65</v>
      </c>
      <c r="P436" s="2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10">
        <v>348.92</v>
      </c>
      <c r="N437" s="10" t="s">
        <v>100</v>
      </c>
      <c r="O437" s="12" t="s">
        <v>100</v>
      </c>
      <c r="P437" s="2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480</v>
      </c>
      <c r="B438" s="14" t="s">
        <v>12</v>
      </c>
      <c r="C438" s="14" t="s">
        <v>12</v>
      </c>
      <c r="D438" s="15" t="s">
        <v>13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0" t="s">
        <v>27</v>
      </c>
      <c r="O438" s="17" t="s">
        <v>39</v>
      </c>
      <c r="P438" s="2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481</v>
      </c>
      <c r="B439" s="9" t="s">
        <v>18</v>
      </c>
      <c r="C439" s="9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26</v>
      </c>
      <c r="M439" s="10">
        <v>1202.19</v>
      </c>
      <c r="N439" s="10" t="s">
        <v>79</v>
      </c>
      <c r="O439" s="12" t="s">
        <v>79</v>
      </c>
      <c r="P439" s="2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26</v>
      </c>
      <c r="M440" s="15">
        <v>411.68</v>
      </c>
      <c r="N440" s="10" t="s">
        <v>100</v>
      </c>
      <c r="O440" s="17" t="s">
        <v>100</v>
      </c>
      <c r="P440" s="2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10">
        <v>225.89</v>
      </c>
      <c r="N441" s="10" t="s">
        <v>41</v>
      </c>
      <c r="O441" s="12" t="s">
        <v>41</v>
      </c>
      <c r="P441" s="2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484</v>
      </c>
      <c r="B442" s="14" t="s">
        <v>12</v>
      </c>
      <c r="C442" s="14" t="s">
        <v>12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0" t="s">
        <v>41</v>
      </c>
      <c r="O442" s="17" t="s">
        <v>68</v>
      </c>
      <c r="P442" s="2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485</v>
      </c>
      <c r="B443" s="9" t="s">
        <v>18</v>
      </c>
      <c r="C443" s="9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15</v>
      </c>
      <c r="M443" s="10">
        <v>887.13</v>
      </c>
      <c r="N443" s="10" t="s">
        <v>100</v>
      </c>
      <c r="O443" s="12" t="s">
        <v>100</v>
      </c>
      <c r="P443" s="2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13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15">
        <v>715.35</v>
      </c>
      <c r="N444" s="10" t="s">
        <v>27</v>
      </c>
      <c r="O444" s="17" t="s">
        <v>48</v>
      </c>
      <c r="P444" s="2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10">
        <v>416.16</v>
      </c>
      <c r="N445" s="10" t="s">
        <v>16</v>
      </c>
      <c r="O445" s="12" t="s">
        <v>52</v>
      </c>
      <c r="P445" s="2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488</v>
      </c>
      <c r="B446" s="14" t="s">
        <v>12</v>
      </c>
      <c r="C446" s="14" t="s">
        <v>12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0" t="s">
        <v>100</v>
      </c>
      <c r="O446" s="17" t="s">
        <v>65</v>
      </c>
      <c r="P446" s="2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489</v>
      </c>
      <c r="B447" s="9" t="s">
        <v>18</v>
      </c>
      <c r="C447" s="9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15</v>
      </c>
      <c r="M447" s="10">
        <v>537.94000000000005</v>
      </c>
      <c r="N447" s="10" t="s">
        <v>41</v>
      </c>
      <c r="O447" s="12" t="s">
        <v>68</v>
      </c>
      <c r="P447" s="2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15</v>
      </c>
      <c r="M448" s="15">
        <v>426.36</v>
      </c>
      <c r="N448" s="10" t="s">
        <v>100</v>
      </c>
      <c r="O448" s="17" t="s">
        <v>65</v>
      </c>
      <c r="P448" s="2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10">
        <v>446.02</v>
      </c>
      <c r="N449" s="10" t="s">
        <v>79</v>
      </c>
      <c r="O449" s="12" t="s">
        <v>22</v>
      </c>
      <c r="P449" s="2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492</v>
      </c>
      <c r="B450" s="14" t="s">
        <v>12</v>
      </c>
      <c r="C450" s="14" t="s">
        <v>12</v>
      </c>
      <c r="D450" s="15" t="s">
        <v>13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21</v>
      </c>
      <c r="M450" s="15">
        <v>387.87</v>
      </c>
      <c r="N450" s="10" t="s">
        <v>35</v>
      </c>
      <c r="O450" s="17" t="s">
        <v>35</v>
      </c>
      <c r="P450" s="2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493</v>
      </c>
      <c r="B451" s="9" t="s">
        <v>18</v>
      </c>
      <c r="C451" s="9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10">
        <v>77.650000000000006</v>
      </c>
      <c r="N451" s="10" t="s">
        <v>35</v>
      </c>
      <c r="O451" s="12" t="s">
        <v>30</v>
      </c>
      <c r="P451" s="2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15">
        <v>428.31</v>
      </c>
      <c r="N452" s="10" t="s">
        <v>27</v>
      </c>
      <c r="O452" s="17" t="s">
        <v>48</v>
      </c>
      <c r="P452" s="2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495</v>
      </c>
      <c r="B453" s="9" t="s">
        <v>29</v>
      </c>
      <c r="C453" s="9" t="s">
        <v>29</v>
      </c>
      <c r="D453" s="10" t="s">
        <v>13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21</v>
      </c>
      <c r="M453" s="10">
        <v>79.13</v>
      </c>
      <c r="N453" s="10" t="s">
        <v>100</v>
      </c>
      <c r="O453" s="12" t="s">
        <v>63</v>
      </c>
      <c r="P453" s="2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496</v>
      </c>
      <c r="B454" s="14" t="s">
        <v>12</v>
      </c>
      <c r="C454" s="14" t="s">
        <v>12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26</v>
      </c>
      <c r="M454" s="15">
        <v>115.42</v>
      </c>
      <c r="N454" s="10" t="s">
        <v>16</v>
      </c>
      <c r="O454" s="17" t="s">
        <v>95</v>
      </c>
      <c r="P454" s="2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497</v>
      </c>
      <c r="B455" s="9" t="s">
        <v>18</v>
      </c>
      <c r="C455" s="9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10">
        <v>150.09</v>
      </c>
      <c r="N455" s="10" t="s">
        <v>16</v>
      </c>
      <c r="O455" s="12" t="s">
        <v>52</v>
      </c>
      <c r="P455" s="2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15">
        <v>387.72</v>
      </c>
      <c r="N456" s="10" t="s">
        <v>41</v>
      </c>
      <c r="O456" s="17" t="s">
        <v>41</v>
      </c>
      <c r="P456" s="2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15</v>
      </c>
      <c r="M457" s="10">
        <v>482.71</v>
      </c>
      <c r="N457" s="10" t="s">
        <v>35</v>
      </c>
      <c r="O457" s="12" t="s">
        <v>35</v>
      </c>
      <c r="P457" s="2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500</v>
      </c>
      <c r="B458" s="14" t="s">
        <v>12</v>
      </c>
      <c r="C458" s="14" t="s">
        <v>12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15">
        <v>1074.45</v>
      </c>
      <c r="N458" s="10" t="s">
        <v>100</v>
      </c>
      <c r="O458" s="17" t="s">
        <v>100</v>
      </c>
      <c r="P458" s="2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501</v>
      </c>
      <c r="B459" s="9" t="s">
        <v>18</v>
      </c>
      <c r="C459" s="9" t="s">
        <v>576</v>
      </c>
      <c r="D459" s="10" t="s">
        <v>13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21</v>
      </c>
      <c r="M459" s="10">
        <v>659.46</v>
      </c>
      <c r="N459" s="10" t="s">
        <v>16</v>
      </c>
      <c r="O459" s="12" t="s">
        <v>16</v>
      </c>
      <c r="P459" s="2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15</v>
      </c>
      <c r="M460" s="15">
        <v>857.48</v>
      </c>
      <c r="N460" s="10" t="s">
        <v>79</v>
      </c>
      <c r="O460" s="17" t="s">
        <v>55</v>
      </c>
      <c r="P460" s="2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10">
        <v>68.510000000000005</v>
      </c>
      <c r="N461" s="10" t="s">
        <v>100</v>
      </c>
      <c r="O461" s="12" t="s">
        <v>65</v>
      </c>
      <c r="P461" s="2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504</v>
      </c>
      <c r="B462" s="14" t="s">
        <v>12</v>
      </c>
      <c r="C462" s="14" t="s">
        <v>12</v>
      </c>
      <c r="D462" s="15" t="s">
        <v>13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26</v>
      </c>
      <c r="M462" s="15">
        <v>614.4</v>
      </c>
      <c r="N462" s="10" t="s">
        <v>16</v>
      </c>
      <c r="O462" s="17" t="s">
        <v>52</v>
      </c>
      <c r="P462" s="2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505</v>
      </c>
      <c r="B463" s="9" t="s">
        <v>18</v>
      </c>
      <c r="C463" s="9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10">
        <v>492.8</v>
      </c>
      <c r="N463" s="10" t="s">
        <v>41</v>
      </c>
      <c r="O463" s="12" t="s">
        <v>68</v>
      </c>
      <c r="P463" s="2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0" t="s">
        <v>16</v>
      </c>
      <c r="O464" s="17" t="s">
        <v>52</v>
      </c>
      <c r="P464" s="2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21</v>
      </c>
      <c r="M465" s="10">
        <v>668.21</v>
      </c>
      <c r="N465" s="10" t="s">
        <v>27</v>
      </c>
      <c r="O465" s="12" t="s">
        <v>27</v>
      </c>
      <c r="P465" s="2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508</v>
      </c>
      <c r="B466" s="14" t="s">
        <v>12</v>
      </c>
      <c r="C466" s="14" t="s">
        <v>12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26</v>
      </c>
      <c r="M466" s="15">
        <v>551.62</v>
      </c>
      <c r="N466" s="10" t="s">
        <v>100</v>
      </c>
      <c r="O466" s="17" t="s">
        <v>100</v>
      </c>
      <c r="P466" s="2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509</v>
      </c>
      <c r="B467" s="9" t="s">
        <v>18</v>
      </c>
      <c r="C467" s="9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15</v>
      </c>
      <c r="M467" s="10">
        <v>791.13</v>
      </c>
      <c r="N467" s="10" t="s">
        <v>79</v>
      </c>
      <c r="O467" s="12" t="s">
        <v>55</v>
      </c>
      <c r="P467" s="2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15">
        <v>668.11</v>
      </c>
      <c r="N468" s="10" t="s">
        <v>100</v>
      </c>
      <c r="O468" s="17" t="s">
        <v>65</v>
      </c>
      <c r="P468" s="2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511</v>
      </c>
      <c r="B469" s="9" t="s">
        <v>29</v>
      </c>
      <c r="C469" s="9" t="s">
        <v>29</v>
      </c>
      <c r="D469" s="10" t="s">
        <v>13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10">
        <v>1246.55</v>
      </c>
      <c r="N469" s="10" t="s">
        <v>79</v>
      </c>
      <c r="O469" s="12" t="s">
        <v>55</v>
      </c>
      <c r="P469" s="2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512</v>
      </c>
      <c r="B470" s="14" t="s">
        <v>12</v>
      </c>
      <c r="C470" s="14" t="s">
        <v>12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15">
        <v>36.9</v>
      </c>
      <c r="N470" s="10" t="s">
        <v>41</v>
      </c>
      <c r="O470" s="17" t="s">
        <v>44</v>
      </c>
      <c r="P470" s="2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513</v>
      </c>
      <c r="B471" s="9" t="s">
        <v>18</v>
      </c>
      <c r="C471" s="9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21</v>
      </c>
      <c r="M471" s="10">
        <v>53.78</v>
      </c>
      <c r="N471" s="10" t="s">
        <v>27</v>
      </c>
      <c r="O471" s="12" t="s">
        <v>27</v>
      </c>
      <c r="P471" s="2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26</v>
      </c>
      <c r="M472" s="15">
        <v>397.26</v>
      </c>
      <c r="N472" s="10" t="s">
        <v>100</v>
      </c>
      <c r="O472" s="17" t="s">
        <v>100</v>
      </c>
      <c r="P472" s="2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515</v>
      </c>
      <c r="B473" s="9" t="s">
        <v>29</v>
      </c>
      <c r="C473" s="9" t="s">
        <v>29</v>
      </c>
      <c r="D473" s="10" t="s">
        <v>13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10">
        <v>109.12</v>
      </c>
      <c r="N473" s="10" t="s">
        <v>41</v>
      </c>
      <c r="O473" s="12" t="s">
        <v>41</v>
      </c>
      <c r="P473" s="2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516</v>
      </c>
      <c r="B474" s="14" t="s">
        <v>12</v>
      </c>
      <c r="C474" s="14" t="s">
        <v>12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15">
        <v>545.08000000000004</v>
      </c>
      <c r="N474" s="10" t="s">
        <v>79</v>
      </c>
      <c r="O474" s="17" t="s">
        <v>55</v>
      </c>
      <c r="P474" s="2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517</v>
      </c>
      <c r="B475" s="9" t="s">
        <v>18</v>
      </c>
      <c r="C475" s="9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26</v>
      </c>
      <c r="M475" s="10">
        <v>512.98</v>
      </c>
      <c r="N475" s="10" t="s">
        <v>35</v>
      </c>
      <c r="O475" s="12" t="s">
        <v>58</v>
      </c>
      <c r="P475" s="2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13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15">
        <v>921.96</v>
      </c>
      <c r="N476" s="10" t="s">
        <v>16</v>
      </c>
      <c r="O476" s="17" t="s">
        <v>16</v>
      </c>
      <c r="P476" s="2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15</v>
      </c>
      <c r="M477" s="10">
        <v>191.82</v>
      </c>
      <c r="N477" s="10" t="s">
        <v>100</v>
      </c>
      <c r="O477" s="12" t="s">
        <v>65</v>
      </c>
      <c r="P477" s="2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520</v>
      </c>
      <c r="B478" s="14" t="s">
        <v>12</v>
      </c>
      <c r="C478" s="14" t="s">
        <v>12</v>
      </c>
      <c r="D478" s="15" t="s">
        <v>13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15</v>
      </c>
      <c r="M478" s="15">
        <v>57.92</v>
      </c>
      <c r="N478" s="10" t="s">
        <v>27</v>
      </c>
      <c r="O478" s="17" t="s">
        <v>27</v>
      </c>
      <c r="P478" s="2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521</v>
      </c>
      <c r="B479" s="9" t="s">
        <v>18</v>
      </c>
      <c r="C479" s="9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10">
        <v>523.78</v>
      </c>
      <c r="N479" s="10" t="s">
        <v>41</v>
      </c>
      <c r="O479" s="12" t="s">
        <v>44</v>
      </c>
      <c r="P479" s="2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26</v>
      </c>
      <c r="M480" s="15">
        <v>485.96</v>
      </c>
      <c r="N480" s="10" t="s">
        <v>41</v>
      </c>
      <c r="O480" s="17" t="s">
        <v>68</v>
      </c>
      <c r="P480" s="2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10">
        <v>149.71</v>
      </c>
      <c r="N481" s="10" t="s">
        <v>100</v>
      </c>
      <c r="O481" s="12" t="s">
        <v>100</v>
      </c>
      <c r="P481" s="2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524</v>
      </c>
      <c r="B482" s="14" t="s">
        <v>12</v>
      </c>
      <c r="C482" s="14" t="s">
        <v>12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26</v>
      </c>
      <c r="M482" s="15">
        <v>226.6</v>
      </c>
      <c r="N482" s="10" t="s">
        <v>100</v>
      </c>
      <c r="O482" s="17" t="s">
        <v>63</v>
      </c>
      <c r="P482" s="2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525</v>
      </c>
      <c r="B483" s="9" t="s">
        <v>18</v>
      </c>
      <c r="C483" s="9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15</v>
      </c>
      <c r="M483" s="10">
        <v>778.64</v>
      </c>
      <c r="N483" s="10" t="s">
        <v>35</v>
      </c>
      <c r="O483" s="12" t="s">
        <v>58</v>
      </c>
      <c r="P483" s="2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15">
        <v>336.04</v>
      </c>
      <c r="N484" s="10" t="s">
        <v>100</v>
      </c>
      <c r="O484" s="17" t="s">
        <v>65</v>
      </c>
      <c r="P484" s="2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527</v>
      </c>
      <c r="B485" s="9" t="s">
        <v>29</v>
      </c>
      <c r="C485" s="9" t="s">
        <v>29</v>
      </c>
      <c r="D485" s="10" t="s">
        <v>13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21</v>
      </c>
      <c r="M485" s="10">
        <v>74.44</v>
      </c>
      <c r="N485" s="10" t="s">
        <v>16</v>
      </c>
      <c r="O485" s="12" t="s">
        <v>95</v>
      </c>
      <c r="P485" s="2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528</v>
      </c>
      <c r="B486" s="14" t="s">
        <v>12</v>
      </c>
      <c r="C486" s="14" t="s">
        <v>12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21</v>
      </c>
      <c r="M486" s="15">
        <v>317.56</v>
      </c>
      <c r="N486" s="10" t="s">
        <v>100</v>
      </c>
      <c r="O486" s="17" t="s">
        <v>63</v>
      </c>
      <c r="P486" s="2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529</v>
      </c>
      <c r="B487" s="9" t="s">
        <v>18</v>
      </c>
      <c r="C487" s="9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26</v>
      </c>
      <c r="M487" s="10">
        <v>731.64</v>
      </c>
      <c r="N487" s="10" t="s">
        <v>100</v>
      </c>
      <c r="O487" s="12" t="s">
        <v>100</v>
      </c>
      <c r="P487" s="2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21</v>
      </c>
      <c r="M488" s="15">
        <v>344.48</v>
      </c>
      <c r="N488" s="10" t="s">
        <v>27</v>
      </c>
      <c r="O488" s="17" t="s">
        <v>27</v>
      </c>
      <c r="P488" s="2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10">
        <v>270.99</v>
      </c>
      <c r="N489" s="10" t="s">
        <v>35</v>
      </c>
      <c r="O489" s="12" t="s">
        <v>30</v>
      </c>
      <c r="P489" s="2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532</v>
      </c>
      <c r="B490" s="14" t="s">
        <v>12</v>
      </c>
      <c r="C490" s="14" t="s">
        <v>12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21</v>
      </c>
      <c r="M490" s="15">
        <v>1091.53</v>
      </c>
      <c r="N490" s="10" t="s">
        <v>27</v>
      </c>
      <c r="O490" s="17" t="s">
        <v>48</v>
      </c>
      <c r="P490" s="2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533</v>
      </c>
      <c r="B491" s="9" t="s">
        <v>18</v>
      </c>
      <c r="C491" s="9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26</v>
      </c>
      <c r="M491" s="10">
        <v>264.99</v>
      </c>
      <c r="N491" s="10" t="s">
        <v>79</v>
      </c>
      <c r="O491" s="12" t="s">
        <v>79</v>
      </c>
      <c r="P491" s="2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15">
        <v>1058.17</v>
      </c>
      <c r="N492" s="10" t="s">
        <v>35</v>
      </c>
      <c r="O492" s="17" t="s">
        <v>30</v>
      </c>
      <c r="P492" s="2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535</v>
      </c>
      <c r="B493" s="9" t="s">
        <v>29</v>
      </c>
      <c r="C493" s="9" t="s">
        <v>29</v>
      </c>
      <c r="D493" s="10" t="s">
        <v>13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10">
        <v>99.89</v>
      </c>
      <c r="N493" s="10" t="s">
        <v>41</v>
      </c>
      <c r="O493" s="12" t="s">
        <v>44</v>
      </c>
      <c r="P493" s="2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536</v>
      </c>
      <c r="B494" s="14" t="s">
        <v>12</v>
      </c>
      <c r="C494" s="14" t="s">
        <v>12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15">
        <v>840.81</v>
      </c>
      <c r="N494" s="10" t="s">
        <v>27</v>
      </c>
      <c r="O494" s="17" t="s">
        <v>48</v>
      </c>
      <c r="P494" s="2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537</v>
      </c>
      <c r="B495" s="9" t="s">
        <v>18</v>
      </c>
      <c r="C495" s="9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10">
        <v>764.68</v>
      </c>
      <c r="N495" s="10" t="s">
        <v>16</v>
      </c>
      <c r="O495" s="12" t="s">
        <v>16</v>
      </c>
      <c r="P495" s="2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538</v>
      </c>
      <c r="B496" s="14" t="s">
        <v>24</v>
      </c>
      <c r="C496" s="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26</v>
      </c>
      <c r="M496" s="15">
        <v>460.15</v>
      </c>
      <c r="N496" s="10" t="s">
        <v>79</v>
      </c>
      <c r="O496" s="17" t="s">
        <v>22</v>
      </c>
      <c r="P496" s="2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539</v>
      </c>
      <c r="B497" s="9" t="s">
        <v>29</v>
      </c>
      <c r="C497" s="4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10" t="s">
        <v>79</v>
      </c>
      <c r="O497" s="12" t="s">
        <v>22</v>
      </c>
      <c r="P497" s="2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540</v>
      </c>
      <c r="B498" s="14" t="s">
        <v>12</v>
      </c>
      <c r="C498" s="4" t="s">
        <v>12</v>
      </c>
      <c r="D498" s="15" t="s">
        <v>13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15</v>
      </c>
      <c r="M498" s="15">
        <v>80.92</v>
      </c>
      <c r="N498" s="10" t="s">
        <v>16</v>
      </c>
      <c r="O498" s="17" t="s">
        <v>95</v>
      </c>
      <c r="P498" s="2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541</v>
      </c>
      <c r="B499" s="9" t="s">
        <v>18</v>
      </c>
      <c r="C499" s="4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10" t="s">
        <v>16</v>
      </c>
      <c r="O499" s="12" t="s">
        <v>95</v>
      </c>
      <c r="P499" s="2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C502" s="1"/>
      <c r="D502" s="1"/>
      <c r="E502" s="1"/>
      <c r="F502" s="1"/>
      <c r="G502" s="49" t="s">
        <v>665</v>
      </c>
      <c r="H502" s="1">
        <f>SUM(Sales)</f>
        <v>1322669.1900000023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C503" s="1"/>
      <c r="D503" s="1"/>
      <c r="E503" s="1"/>
      <c r="F503" s="1"/>
      <c r="G503" s="49" t="s">
        <v>666</v>
      </c>
      <c r="H503" s="1" cm="1">
        <f t="array" ref="H503">SUBTOTAL(9,Sales)</f>
        <v>1322669.1900000023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C504" s="1"/>
      <c r="D504" s="1"/>
      <c r="E504" s="1"/>
      <c r="F504" s="1"/>
      <c r="G504" s="49" t="s">
        <v>666</v>
      </c>
      <c r="H504" s="1" cm="1">
        <f t="array" ref="H504">SUBTOTAL(109,Sales)</f>
        <v>1322669.1900000023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mergeCells count="11">
    <mergeCell ref="R11:T11"/>
    <mergeCell ref="R12:T12"/>
    <mergeCell ref="R13:T13"/>
    <mergeCell ref="R14:T14"/>
    <mergeCell ref="R15:T15"/>
    <mergeCell ref="W13:AA13"/>
    <mergeCell ref="R18:T19"/>
    <mergeCell ref="R20:T21"/>
    <mergeCell ref="R22:T23"/>
    <mergeCell ref="R24:T25"/>
    <mergeCell ref="R16:T17"/>
  </mergeCells>
  <phoneticPr fontId="7" type="noConversion"/>
  <conditionalFormatting sqref="E1:F1048576">
    <cfRule type="top10" dxfId="4" priority="2" bottom="1" rank="10"/>
    <cfRule type="top10" dxfId="3" priority="3" rank="10"/>
  </conditionalFormatting>
  <conditionalFormatting sqref="G1:G501 G505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max"/>
        <color rgb="FFFF7128"/>
        <color rgb="FFFFEF9C"/>
      </colorScale>
    </cfRule>
    <cfRule type="colorScale" priority="8">
      <colorScale>
        <cfvo type="min"/>
        <cfvo type="max"/>
        <color rgb="FF63BE7B"/>
        <color rgb="FFFFEF9C"/>
      </colorScale>
    </cfRule>
  </conditionalFormatting>
  <conditionalFormatting sqref="H1:H1048576">
    <cfRule type="cellIs" dxfId="2" priority="1" operator="greaterThan">
      <formula>5</formula>
    </cfRule>
  </conditionalFormatting>
  <conditionalFormatting sqref="H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  <ignoredErrors>
    <ignoredError sqref="F2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workbookViewId="0">
      <selection activeCell="D8" sqref="D8"/>
    </sheetView>
  </sheetViews>
  <sheetFormatPr defaultRowHeight="14.4" x14ac:dyDescent="0.3"/>
  <cols>
    <col min="3" max="3" width="15" bestFit="1" customWidth="1"/>
    <col min="4" max="4" width="19.77734375" bestFit="1" customWidth="1"/>
    <col min="6" max="6" width="13.77734375" bestFit="1" customWidth="1"/>
    <col min="7" max="7" width="11" bestFit="1" customWidth="1"/>
  </cols>
  <sheetData>
    <row r="1" spans="1:7" x14ac:dyDescent="0.3">
      <c r="A1" t="s">
        <v>544</v>
      </c>
      <c r="B1" t="s">
        <v>545</v>
      </c>
      <c r="C1" t="s">
        <v>554</v>
      </c>
      <c r="D1" t="s">
        <v>559</v>
      </c>
      <c r="E1" t="s">
        <v>564</v>
      </c>
      <c r="F1" t="s">
        <v>569</v>
      </c>
      <c r="G1" t="s">
        <v>574</v>
      </c>
    </row>
    <row r="2" spans="1:7" x14ac:dyDescent="0.3">
      <c r="A2" t="s">
        <v>546</v>
      </c>
      <c r="B2" t="s">
        <v>547</v>
      </c>
      <c r="C2" t="s">
        <v>555</v>
      </c>
      <c r="D2" s="23" t="s">
        <v>560</v>
      </c>
      <c r="E2" t="s">
        <v>565</v>
      </c>
      <c r="F2" t="s">
        <v>570</v>
      </c>
      <c r="G2">
        <v>8827472728</v>
      </c>
    </row>
    <row r="3" spans="1:7" x14ac:dyDescent="0.3">
      <c r="A3" t="s">
        <v>548</v>
      </c>
      <c r="B3" t="s">
        <v>549</v>
      </c>
      <c r="C3" t="s">
        <v>556</v>
      </c>
      <c r="D3" s="23" t="s">
        <v>562</v>
      </c>
      <c r="E3" t="s">
        <v>566</v>
      </c>
      <c r="F3" t="s">
        <v>571</v>
      </c>
      <c r="G3">
        <v>8945652345</v>
      </c>
    </row>
    <row r="4" spans="1:7" x14ac:dyDescent="0.3">
      <c r="A4" t="s">
        <v>550</v>
      </c>
      <c r="B4" t="s">
        <v>551</v>
      </c>
      <c r="C4" t="s">
        <v>557</v>
      </c>
      <c r="D4" s="23" t="s">
        <v>563</v>
      </c>
      <c r="E4" t="s">
        <v>567</v>
      </c>
      <c r="F4" t="s">
        <v>572</v>
      </c>
      <c r="G4">
        <v>9665623649</v>
      </c>
    </row>
    <row r="5" spans="1:7" x14ac:dyDescent="0.3">
      <c r="A5" t="s">
        <v>552</v>
      </c>
      <c r="B5" t="s">
        <v>553</v>
      </c>
      <c r="C5" t="s">
        <v>558</v>
      </c>
      <c r="D5" s="23" t="s">
        <v>561</v>
      </c>
      <c r="E5" t="s">
        <v>568</v>
      </c>
      <c r="F5" t="s">
        <v>573</v>
      </c>
      <c r="G5">
        <v>9890256345</v>
      </c>
    </row>
  </sheetData>
  <hyperlinks>
    <hyperlink ref="D2" r:id="rId1" xr:uid="{1C07F661-0F72-469C-BC3D-F04C291E5508}"/>
    <hyperlink ref="D3" r:id="rId2" xr:uid="{4E5B51A1-C9A7-418A-B46D-07F04D09B232}"/>
    <hyperlink ref="D4" r:id="rId3" xr:uid="{0FEBBC5C-516E-4B45-A4FF-19837CEDD4FF}"/>
    <hyperlink ref="D5" r:id="rId4" xr:uid="{D4D57660-611C-4B7F-8EF7-C539116F88D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R37"/>
  <sheetViews>
    <sheetView workbookViewId="0">
      <selection activeCell="Q11" sqref="Q11"/>
    </sheetView>
  </sheetViews>
  <sheetFormatPr defaultRowHeight="14.4" x14ac:dyDescent="0.3"/>
  <cols>
    <col min="2" max="2" width="10.88671875" customWidth="1"/>
    <col min="3" max="3" width="11.44140625" customWidth="1"/>
    <col min="4" max="4" width="9.77734375" bestFit="1" customWidth="1"/>
    <col min="6" max="6" width="13.77734375" bestFit="1" customWidth="1"/>
    <col min="7" max="7" width="10.44140625" customWidth="1"/>
    <col min="13" max="13" width="10.33203125" customWidth="1"/>
    <col min="17" max="17" width="12.44140625" bestFit="1" customWidth="1"/>
    <col min="18" max="18" width="9.77734375" customWidth="1"/>
  </cols>
  <sheetData>
    <row r="1" spans="1:18" x14ac:dyDescent="0.3">
      <c r="A1" s="25" t="s">
        <v>577</v>
      </c>
      <c r="E1" s="25" t="s">
        <v>583</v>
      </c>
      <c r="N1" s="27" t="s">
        <v>603</v>
      </c>
      <c r="O1" s="27" t="s">
        <v>612</v>
      </c>
      <c r="P1" s="27" t="s">
        <v>613</v>
      </c>
      <c r="Q1" s="27" t="s">
        <v>616</v>
      </c>
      <c r="R1" s="60" t="s">
        <v>617</v>
      </c>
    </row>
    <row r="2" spans="1:18" x14ac:dyDescent="0.3">
      <c r="A2" s="25" t="s">
        <v>580</v>
      </c>
      <c r="E2" s="25" t="s">
        <v>584</v>
      </c>
      <c r="F2" s="25" t="s">
        <v>584</v>
      </c>
      <c r="N2" s="28" t="s">
        <v>608</v>
      </c>
      <c r="O2" s="28" t="s">
        <v>614</v>
      </c>
      <c r="P2" s="29">
        <v>75</v>
      </c>
      <c r="Q2" s="29" t="str">
        <f>IF(AND(O2="Nagpur",P2&gt;=75),"shortlisted","Not Shortlisted")</f>
        <v>shortlisted</v>
      </c>
      <c r="R2" s="60"/>
    </row>
    <row r="3" spans="1:18" x14ac:dyDescent="0.3">
      <c r="A3" s="25" t="s">
        <v>578</v>
      </c>
      <c r="C3" s="26" t="s">
        <v>582</v>
      </c>
      <c r="E3" s="25" t="s">
        <v>585</v>
      </c>
      <c r="F3" s="25" t="s">
        <v>585</v>
      </c>
      <c r="N3" s="28" t="s">
        <v>609</v>
      </c>
      <c r="O3" s="28" t="s">
        <v>27</v>
      </c>
      <c r="P3" s="29">
        <v>88</v>
      </c>
      <c r="Q3" s="29" t="str">
        <f>IF(AND(O3="Nagpur",P3&gt;=75),"shortlisted","Not Shortlisted")</f>
        <v>Not Shortlisted</v>
      </c>
      <c r="R3" s="60"/>
    </row>
    <row r="4" spans="1:18" x14ac:dyDescent="0.3">
      <c r="A4" s="25" t="s">
        <v>581</v>
      </c>
      <c r="E4" s="25" t="s">
        <v>586</v>
      </c>
      <c r="F4" s="25" t="s">
        <v>586</v>
      </c>
      <c r="N4" s="28" t="s">
        <v>610</v>
      </c>
      <c r="O4" s="28" t="s">
        <v>614</v>
      </c>
      <c r="P4" s="29">
        <v>100</v>
      </c>
      <c r="Q4" s="29" t="str">
        <f>IF(AND(O4="Nagpur",P4&gt;=75),"shortlisted","Not Shortlisted")</f>
        <v>shortlisted</v>
      </c>
      <c r="R4" s="60"/>
    </row>
    <row r="5" spans="1:18" x14ac:dyDescent="0.3">
      <c r="A5" s="25" t="s">
        <v>579</v>
      </c>
      <c r="E5" s="25" t="s">
        <v>587</v>
      </c>
      <c r="F5" s="25" t="s">
        <v>590</v>
      </c>
      <c r="N5" s="28" t="s">
        <v>611</v>
      </c>
      <c r="O5" s="28" t="s">
        <v>615</v>
      </c>
      <c r="P5" s="29">
        <v>77</v>
      </c>
      <c r="Q5" s="29" t="str">
        <f>IF(AND(O5="Nagpur",P5&gt;=75),"shortlisted","Not Shortlisted")</f>
        <v>Not Shortlisted</v>
      </c>
      <c r="R5" s="60"/>
    </row>
    <row r="6" spans="1:18" x14ac:dyDescent="0.3">
      <c r="E6" s="25" t="s">
        <v>588</v>
      </c>
      <c r="F6" s="25" t="s">
        <v>588</v>
      </c>
    </row>
    <row r="7" spans="1:18" x14ac:dyDescent="0.3">
      <c r="E7" s="25" t="s">
        <v>589</v>
      </c>
      <c r="F7" s="25" t="s">
        <v>589</v>
      </c>
    </row>
    <row r="10" spans="1:18" x14ac:dyDescent="0.3">
      <c r="D10" s="27" t="s">
        <v>591</v>
      </c>
      <c r="E10" s="27" t="s">
        <v>578</v>
      </c>
      <c r="F10" s="27" t="s">
        <v>602</v>
      </c>
      <c r="H10" s="27" t="s">
        <v>603</v>
      </c>
      <c r="I10" s="27" t="s">
        <v>604</v>
      </c>
      <c r="J10" s="27" t="s">
        <v>605</v>
      </c>
      <c r="K10" s="27" t="s">
        <v>606</v>
      </c>
      <c r="L10" s="27" t="s">
        <v>607</v>
      </c>
    </row>
    <row r="11" spans="1:18" x14ac:dyDescent="0.3">
      <c r="D11" s="28" t="s">
        <v>598</v>
      </c>
      <c r="E11" s="29">
        <v>98500</v>
      </c>
      <c r="F11" s="28" t="str">
        <f>IF(E11&gt;=50000,"Yes","No")</f>
        <v>Yes</v>
      </c>
      <c r="G11" s="61" t="s">
        <v>618</v>
      </c>
      <c r="H11" s="28" t="s">
        <v>608</v>
      </c>
      <c r="I11" s="29">
        <v>75</v>
      </c>
      <c r="J11" s="29">
        <v>86</v>
      </c>
      <c r="K11" s="29">
        <v>76</v>
      </c>
      <c r="L11" s="29" t="str">
        <f>IF(AND(I11&gt;=75,J11&gt;=75),"A+","A")</f>
        <v>A+</v>
      </c>
      <c r="M11" s="60" t="s">
        <v>617</v>
      </c>
    </row>
    <row r="12" spans="1:18" x14ac:dyDescent="0.3">
      <c r="D12" s="28" t="s">
        <v>599</v>
      </c>
      <c r="E12" s="29">
        <v>59700</v>
      </c>
      <c r="F12" s="28" t="str">
        <f t="shared" ref="F12:F20" si="0">IF(E12&gt;=50000,"Yes","No")</f>
        <v>Yes</v>
      </c>
      <c r="G12" s="61"/>
      <c r="H12" s="28" t="s">
        <v>609</v>
      </c>
      <c r="I12" s="29">
        <v>78</v>
      </c>
      <c r="J12" s="29">
        <v>65</v>
      </c>
      <c r="K12" s="29">
        <v>44</v>
      </c>
      <c r="L12" s="29" t="str">
        <f>IF(AND(I12&gt;=75,J12&gt;=75),"A+","A")</f>
        <v>A</v>
      </c>
      <c r="M12" s="60"/>
    </row>
    <row r="13" spans="1:18" x14ac:dyDescent="0.3">
      <c r="B13" s="60" t="s">
        <v>619</v>
      </c>
      <c r="D13" s="28" t="s">
        <v>592</v>
      </c>
      <c r="E13" s="29">
        <v>78900</v>
      </c>
      <c r="F13" s="28" t="str">
        <f t="shared" si="0"/>
        <v>Yes</v>
      </c>
      <c r="G13" s="61"/>
      <c r="H13" s="28" t="s">
        <v>610</v>
      </c>
      <c r="I13" s="29">
        <v>67</v>
      </c>
      <c r="J13" s="29">
        <v>88</v>
      </c>
      <c r="K13" s="29">
        <v>77</v>
      </c>
      <c r="L13" s="29" t="str">
        <f>IF(AND(I13&gt;=75,J13&gt;=75),"A+","A")</f>
        <v>A</v>
      </c>
      <c r="M13" s="60"/>
    </row>
    <row r="14" spans="1:18" x14ac:dyDescent="0.3">
      <c r="B14" s="60"/>
      <c r="D14" s="28" t="s">
        <v>595</v>
      </c>
      <c r="E14" s="29">
        <v>89100</v>
      </c>
      <c r="F14" s="28" t="str">
        <f t="shared" si="0"/>
        <v>Yes</v>
      </c>
      <c r="G14" s="61"/>
      <c r="H14" s="28" t="s">
        <v>611</v>
      </c>
      <c r="I14" s="29">
        <v>93</v>
      </c>
      <c r="J14" s="29">
        <v>79</v>
      </c>
      <c r="K14" s="29">
        <v>68</v>
      </c>
      <c r="L14" s="29" t="str">
        <f>IF(AND(I14&gt;=75,J14&gt;=75),"A+","A")</f>
        <v>A+</v>
      </c>
      <c r="M14" s="60"/>
    </row>
    <row r="15" spans="1:18" x14ac:dyDescent="0.3">
      <c r="B15" s="60"/>
      <c r="D15" s="28" t="s">
        <v>597</v>
      </c>
      <c r="E15" s="29">
        <v>56400</v>
      </c>
      <c r="F15" s="28" t="str">
        <f t="shared" si="0"/>
        <v>Yes</v>
      </c>
      <c r="G15" s="61"/>
    </row>
    <row r="16" spans="1:18" x14ac:dyDescent="0.3">
      <c r="D16" s="28" t="s">
        <v>600</v>
      </c>
      <c r="E16" s="29">
        <v>45600</v>
      </c>
      <c r="F16" s="28" t="str">
        <f t="shared" si="0"/>
        <v>No</v>
      </c>
      <c r="G16" s="61"/>
    </row>
    <row r="17" spans="2:13" x14ac:dyDescent="0.3">
      <c r="D17" s="28" t="s">
        <v>601</v>
      </c>
      <c r="E17" s="29">
        <v>45000</v>
      </c>
      <c r="F17" s="28" t="str">
        <f t="shared" si="0"/>
        <v>No</v>
      </c>
      <c r="G17" s="61"/>
    </row>
    <row r="18" spans="2:13" x14ac:dyDescent="0.3">
      <c r="D18" s="28" t="s">
        <v>596</v>
      </c>
      <c r="E18" s="29">
        <v>12200</v>
      </c>
      <c r="F18" s="28" t="str">
        <f t="shared" si="0"/>
        <v>No</v>
      </c>
      <c r="G18" s="61"/>
    </row>
    <row r="19" spans="2:13" x14ac:dyDescent="0.3">
      <c r="D19" s="28" t="s">
        <v>593</v>
      </c>
      <c r="E19" s="29">
        <v>56200</v>
      </c>
      <c r="F19" s="28" t="str">
        <f t="shared" si="0"/>
        <v>Yes</v>
      </c>
      <c r="G19" s="61"/>
    </row>
    <row r="20" spans="2:13" x14ac:dyDescent="0.3">
      <c r="D20" s="28" t="s">
        <v>594</v>
      </c>
      <c r="E20" s="29">
        <v>78400</v>
      </c>
      <c r="F20" s="28" t="str">
        <f t="shared" si="0"/>
        <v>Yes</v>
      </c>
      <c r="G20" s="61"/>
    </row>
    <row r="21" spans="2:13" x14ac:dyDescent="0.3">
      <c r="L21" s="27" t="s">
        <v>627</v>
      </c>
      <c r="M21" s="27" t="s">
        <v>628</v>
      </c>
    </row>
    <row r="22" spans="2:13" x14ac:dyDescent="0.3">
      <c r="H22" s="27" t="s">
        <v>603</v>
      </c>
      <c r="I22" s="27" t="s">
        <v>613</v>
      </c>
      <c r="J22" s="27" t="s">
        <v>607</v>
      </c>
      <c r="L22" s="27">
        <v>90</v>
      </c>
      <c r="M22" s="27" t="s">
        <v>622</v>
      </c>
    </row>
    <row r="23" spans="2:13" x14ac:dyDescent="0.3">
      <c r="H23" s="28" t="s">
        <v>608</v>
      </c>
      <c r="I23" s="36">
        <v>98</v>
      </c>
      <c r="J23" s="29" t="str">
        <f>IF(I23&gt;L22,"A++",IF(I23&gt;L23,"A+",IF(I23&gt;L24,"A",IF(I23&gt;L25,"B","Fail"))))</f>
        <v>A++</v>
      </c>
      <c r="L23" s="27">
        <v>75</v>
      </c>
      <c r="M23" s="27" t="s">
        <v>620</v>
      </c>
    </row>
    <row r="24" spans="2:13" x14ac:dyDescent="0.3">
      <c r="H24" s="28" t="s">
        <v>609</v>
      </c>
      <c r="I24" s="29">
        <v>32</v>
      </c>
      <c r="J24" s="29" t="str">
        <f>IF(I24&gt;90,"A++",IF(I24&gt;75,"A+",IF(I24&gt;60,"A",IF(I24&gt;40,"B","Fail"))))</f>
        <v>Fail</v>
      </c>
      <c r="L24" s="27">
        <v>60</v>
      </c>
      <c r="M24" s="27" t="s">
        <v>621</v>
      </c>
    </row>
    <row r="25" spans="2:13" x14ac:dyDescent="0.3">
      <c r="H25" s="28" t="s">
        <v>610</v>
      </c>
      <c r="I25" s="29">
        <v>79</v>
      </c>
      <c r="J25" s="29" t="str">
        <f>IF(I25&gt;90,"A++",IF(I25&gt;75,"A+",IF(I25&gt;60,"A",IF(I25&gt;40,"B","Fail"))))</f>
        <v>A+</v>
      </c>
      <c r="L25" s="27">
        <v>40</v>
      </c>
      <c r="M25" s="27" t="s">
        <v>623</v>
      </c>
    </row>
    <row r="26" spans="2:13" x14ac:dyDescent="0.3">
      <c r="H26" s="28" t="s">
        <v>611</v>
      </c>
      <c r="I26" s="29">
        <v>55</v>
      </c>
      <c r="J26" s="29" t="str">
        <f>IF(I26&gt;90,"A++",IF(I26&gt;75,"A+",IF(I26&gt;60,"A",IF(I26&gt;40,"B","Fail"))))</f>
        <v>B</v>
      </c>
      <c r="L26" s="27" t="s">
        <v>624</v>
      </c>
      <c r="M26" s="27" t="s">
        <v>625</v>
      </c>
    </row>
    <row r="27" spans="2:13" x14ac:dyDescent="0.3">
      <c r="B27" s="37" t="s">
        <v>659</v>
      </c>
      <c r="C27" s="27" t="s">
        <v>603</v>
      </c>
      <c r="D27" s="44" t="s">
        <v>662</v>
      </c>
      <c r="H27" s="30" t="s">
        <v>626</v>
      </c>
      <c r="I27" s="31">
        <v>62</v>
      </c>
      <c r="J27" s="29" t="str">
        <f>IF(I27&gt;90,"A++",IF(I27&gt;75,"A+",IF(I27&gt;60,"A",IF(I27&gt;40,"B","Fail"))))</f>
        <v>A</v>
      </c>
    </row>
    <row r="28" spans="2:13" x14ac:dyDescent="0.3">
      <c r="B28" s="45" t="s">
        <v>580</v>
      </c>
      <c r="C28" s="28" t="s">
        <v>608</v>
      </c>
      <c r="D28">
        <v>1001</v>
      </c>
      <c r="F28">
        <f>COUNTIF(D28:D36,"1001")</f>
        <v>4</v>
      </c>
    </row>
    <row r="29" spans="2:13" x14ac:dyDescent="0.3">
      <c r="B29" s="46" t="s">
        <v>578</v>
      </c>
      <c r="C29" s="28" t="s">
        <v>609</v>
      </c>
      <c r="D29">
        <v>1002</v>
      </c>
    </row>
    <row r="30" spans="2:13" x14ac:dyDescent="0.3">
      <c r="B30" s="46" t="s">
        <v>581</v>
      </c>
      <c r="C30" s="28" t="s">
        <v>610</v>
      </c>
      <c r="D30">
        <v>1001</v>
      </c>
    </row>
    <row r="31" spans="2:13" x14ac:dyDescent="0.3">
      <c r="B31" s="46" t="s">
        <v>579</v>
      </c>
      <c r="C31" s="28" t="s">
        <v>611</v>
      </c>
      <c r="D31">
        <v>1003</v>
      </c>
    </row>
    <row r="32" spans="2:13" x14ac:dyDescent="0.3">
      <c r="B32" s="45" t="s">
        <v>658</v>
      </c>
      <c r="C32" s="36" t="s">
        <v>626</v>
      </c>
      <c r="D32">
        <v>1002</v>
      </c>
    </row>
    <row r="33" spans="2:4" x14ac:dyDescent="0.3">
      <c r="B33" s="45" t="s">
        <v>580</v>
      </c>
      <c r="C33" s="28" t="s">
        <v>608</v>
      </c>
      <c r="D33">
        <v>1001</v>
      </c>
    </row>
    <row r="34" spans="2:4" x14ac:dyDescent="0.3">
      <c r="B34" s="46" t="s">
        <v>578</v>
      </c>
      <c r="C34" s="28" t="s">
        <v>609</v>
      </c>
      <c r="D34">
        <v>1001</v>
      </c>
    </row>
    <row r="35" spans="2:4" x14ac:dyDescent="0.3">
      <c r="B35" s="46" t="s">
        <v>581</v>
      </c>
      <c r="C35" s="28" t="s">
        <v>610</v>
      </c>
      <c r="D35">
        <v>1003</v>
      </c>
    </row>
    <row r="36" spans="2:4" x14ac:dyDescent="0.3">
      <c r="B36" s="46" t="s">
        <v>579</v>
      </c>
      <c r="C36" s="28" t="s">
        <v>611</v>
      </c>
      <c r="D36">
        <v>1005</v>
      </c>
    </row>
    <row r="37" spans="2:4" x14ac:dyDescent="0.3">
      <c r="B37" s="45" t="s">
        <v>658</v>
      </c>
      <c r="C37" s="30" t="s">
        <v>626</v>
      </c>
    </row>
  </sheetData>
  <sortState xmlns:xlrd2="http://schemas.microsoft.com/office/spreadsheetml/2017/richdata2" ref="D11:E20">
    <sortCondition ref="D11:D20" customList="January,February,March,April,May,June,July,August,September,October,November,December"/>
  </sortState>
  <mergeCells count="4">
    <mergeCell ref="R1:R5"/>
    <mergeCell ref="M11:M14"/>
    <mergeCell ref="G11:G20"/>
    <mergeCell ref="B13:B15"/>
  </mergeCells>
  <phoneticPr fontId="12" type="noConversion"/>
  <conditionalFormatting sqref="E11:E20">
    <cfRule type="cellIs" dxfId="1" priority="1" operator="lessThan">
      <formula>55350</formula>
    </cfRule>
    <cfRule type="cellIs" dxfId="0" priority="2" operator="greaterThan">
      <formula>50000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09701-E5C2-44B9-91E4-13411FBF82C7}">
  <dimension ref="C1:J16"/>
  <sheetViews>
    <sheetView workbookViewId="0">
      <selection activeCell="C21" sqref="C21"/>
    </sheetView>
  </sheetViews>
  <sheetFormatPr defaultRowHeight="14.4" x14ac:dyDescent="0.3"/>
  <cols>
    <col min="5" max="5" width="18.33203125" bestFit="1" customWidth="1"/>
    <col min="6" max="6" width="12.77734375" bestFit="1" customWidth="1"/>
    <col min="9" max="9" width="11.21875" bestFit="1" customWidth="1"/>
  </cols>
  <sheetData>
    <row r="1" spans="3:10" x14ac:dyDescent="0.3">
      <c r="D1" s="32" t="s">
        <v>634</v>
      </c>
    </row>
    <row r="3" spans="3:10" x14ac:dyDescent="0.3">
      <c r="C3" s="27" t="s">
        <v>603</v>
      </c>
      <c r="D3" s="27" t="s">
        <v>578</v>
      </c>
      <c r="E3" s="37" t="s">
        <v>630</v>
      </c>
      <c r="F3" s="37" t="s">
        <v>633</v>
      </c>
    </row>
    <row r="4" spans="3:10" x14ac:dyDescent="0.3">
      <c r="C4" s="28" t="s">
        <v>608</v>
      </c>
      <c r="D4" s="35">
        <v>70000</v>
      </c>
      <c r="E4" s="35" t="str">
        <f>IF(D4&gt;=$I$5,"15%",IF(D4&gt;=$I$6,"10%",IF(D4&gt;=$I$7,"5%","0")))</f>
        <v>10%</v>
      </c>
      <c r="F4" s="35">
        <f>D4*E4</f>
        <v>7000</v>
      </c>
      <c r="I4" s="32" t="s">
        <v>629</v>
      </c>
      <c r="J4" s="33" t="s">
        <v>630</v>
      </c>
    </row>
    <row r="5" spans="3:10" x14ac:dyDescent="0.3">
      <c r="C5" s="28" t="s">
        <v>609</v>
      </c>
      <c r="D5" s="35">
        <v>50000</v>
      </c>
      <c r="E5" s="35" t="str">
        <f>IF(D5&gt;=$I$5,"15%",IF(D5&gt;=$I$6,"10%",IF(D5&gt;=$I$7,"5%","0")))</f>
        <v>5%</v>
      </c>
      <c r="F5" s="35">
        <f>D5*E5</f>
        <v>2500</v>
      </c>
      <c r="I5">
        <v>75000</v>
      </c>
      <c r="J5" s="34">
        <v>0.15</v>
      </c>
    </row>
    <row r="6" spans="3:10" x14ac:dyDescent="0.3">
      <c r="C6" s="28" t="s">
        <v>610</v>
      </c>
      <c r="D6" s="35">
        <v>45000</v>
      </c>
      <c r="E6" s="35" t="str">
        <f>IF(D6&gt;=$I$5,"15%",IF(D6&gt;=$I$6,"10%",IF(D6&gt;=$I$7,"5%","0")))</f>
        <v>0</v>
      </c>
      <c r="F6" s="35">
        <f>D6*E6</f>
        <v>0</v>
      </c>
      <c r="I6">
        <v>70000</v>
      </c>
      <c r="J6" s="34">
        <v>0.1</v>
      </c>
    </row>
    <row r="7" spans="3:10" x14ac:dyDescent="0.3">
      <c r="C7" s="28" t="s">
        <v>611</v>
      </c>
      <c r="D7" s="35">
        <v>75000</v>
      </c>
      <c r="E7" s="35" t="str">
        <f>IF(D7&gt;=$I$5,"15%",IF(D7&gt;=$I$6,"10%",IF(D7&gt;=$I$7,"5%","0")))</f>
        <v>15%</v>
      </c>
      <c r="F7" s="35">
        <f>D7*E7</f>
        <v>11250</v>
      </c>
      <c r="I7">
        <v>50000</v>
      </c>
      <c r="J7" s="34">
        <v>0.05</v>
      </c>
    </row>
    <row r="8" spans="3:10" x14ac:dyDescent="0.3">
      <c r="C8" s="36" t="s">
        <v>626</v>
      </c>
      <c r="D8" s="35">
        <v>55000</v>
      </c>
      <c r="E8" s="35" t="str">
        <f>IF(D8&gt;=$I$5,"15%",IF(D8&gt;=$I$6,"10%",IF(D8&gt;=$I$7,"5%","0")))</f>
        <v>5%</v>
      </c>
      <c r="F8" s="35">
        <f>D8*E8</f>
        <v>2750</v>
      </c>
      <c r="I8" s="32" t="s">
        <v>631</v>
      </c>
      <c r="J8" s="32" t="s">
        <v>632</v>
      </c>
    </row>
    <row r="11" spans="3:10" x14ac:dyDescent="0.3">
      <c r="C11" s="39" t="s">
        <v>635</v>
      </c>
      <c r="D11" s="39" t="s">
        <v>636</v>
      </c>
      <c r="E11" s="39" t="s">
        <v>637</v>
      </c>
    </row>
    <row r="12" spans="3:10" x14ac:dyDescent="0.3">
      <c r="C12" s="38">
        <v>27</v>
      </c>
      <c r="D12" s="38">
        <v>6</v>
      </c>
      <c r="E12" s="38">
        <f>IFERROR(C12/D12,"Cannot Divide By Zero")</f>
        <v>4.5</v>
      </c>
    </row>
    <row r="13" spans="3:10" x14ac:dyDescent="0.3">
      <c r="C13" s="38">
        <v>45</v>
      </c>
      <c r="D13" s="38">
        <v>7</v>
      </c>
      <c r="E13" s="38">
        <f>IFERROR(C13/D13,"Cannot Divide By Zero")</f>
        <v>6.4285714285714288</v>
      </c>
    </row>
    <row r="14" spans="3:10" x14ac:dyDescent="0.3">
      <c r="C14" s="38">
        <v>65</v>
      </c>
      <c r="D14" s="38">
        <v>0</v>
      </c>
      <c r="E14" s="38" t="str">
        <f>IFERROR(C14/D14,"Cannot Divide By Zero")</f>
        <v>Cannot Divide By Zero</v>
      </c>
    </row>
    <row r="15" spans="3:10" x14ac:dyDescent="0.3">
      <c r="C15" s="38">
        <v>60</v>
      </c>
      <c r="D15" s="38">
        <v>7</v>
      </c>
      <c r="E15" s="38">
        <f>IFERROR(C15/D15,"Cannot Divide By Zero")</f>
        <v>8.5714285714285712</v>
      </c>
    </row>
    <row r="16" spans="3:10" x14ac:dyDescent="0.3">
      <c r="C16" s="38">
        <v>36</v>
      </c>
      <c r="D16" s="38">
        <v>6</v>
      </c>
      <c r="E16" s="38">
        <f>IFERROR(C16/D16,"Cannot Divide By Zero")</f>
        <v>6</v>
      </c>
    </row>
  </sheetData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8D9CD-0407-43A7-952B-97D5DF189B2C}">
  <dimension ref="A1:D11"/>
  <sheetViews>
    <sheetView workbookViewId="0">
      <selection activeCell="E14" sqref="E14"/>
    </sheetView>
  </sheetViews>
  <sheetFormatPr defaultRowHeight="14.4" x14ac:dyDescent="0.3"/>
  <sheetData>
    <row r="1" spans="1:4" x14ac:dyDescent="0.3">
      <c r="A1" s="48" t="s">
        <v>663</v>
      </c>
    </row>
    <row r="2" spans="1:4" x14ac:dyDescent="0.3">
      <c r="A2">
        <v>100</v>
      </c>
    </row>
    <row r="3" spans="1:4" x14ac:dyDescent="0.3">
      <c r="A3">
        <v>200</v>
      </c>
    </row>
    <row r="4" spans="1:4" x14ac:dyDescent="0.3">
      <c r="A4">
        <v>300</v>
      </c>
    </row>
    <row r="5" spans="1:4" x14ac:dyDescent="0.3">
      <c r="A5">
        <v>100</v>
      </c>
    </row>
    <row r="6" spans="1:4" x14ac:dyDescent="0.3">
      <c r="A6">
        <v>400</v>
      </c>
    </row>
    <row r="7" spans="1:4" x14ac:dyDescent="0.3">
      <c r="A7">
        <v>450</v>
      </c>
    </row>
    <row r="8" spans="1:4" x14ac:dyDescent="0.3">
      <c r="A8">
        <v>600</v>
      </c>
    </row>
    <row r="9" spans="1:4" x14ac:dyDescent="0.3">
      <c r="C9" s="62" t="s">
        <v>664</v>
      </c>
      <c r="D9" s="62"/>
    </row>
    <row r="10" spans="1:4" x14ac:dyDescent="0.3">
      <c r="C10">
        <f>SUBTOTAL(9,A2:A8)</f>
        <v>2150</v>
      </c>
      <c r="D10">
        <f>SUBTOTAL(109,A2:A8)</f>
        <v>2150</v>
      </c>
    </row>
    <row r="11" spans="1:4" x14ac:dyDescent="0.3">
      <c r="C11">
        <f>SUBTOTAL(1,A2:A8)</f>
        <v>307.14285714285717</v>
      </c>
      <c r="D11">
        <f>SUBTOTAL(101,A2:A8)</f>
        <v>307.14285714285717</v>
      </c>
    </row>
  </sheetData>
  <autoFilter ref="A1:A8" xr:uid="{E968D9CD-0407-43A7-952B-97D5DF189B2C}"/>
  <mergeCells count="1">
    <mergeCell ref="C9:D9"/>
  </mergeCells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42C23-9A3D-450F-AF3D-6902FCC85C54}">
  <dimension ref="A1:F20"/>
  <sheetViews>
    <sheetView tabSelected="1" workbookViewId="0">
      <selection activeCell="D23" sqref="D23"/>
    </sheetView>
  </sheetViews>
  <sheetFormatPr defaultRowHeight="14.4" x14ac:dyDescent="0.3"/>
  <cols>
    <col min="2" max="2" width="12.6640625" bestFit="1" customWidth="1"/>
    <col min="4" max="5" width="12.5546875" bestFit="1" customWidth="1"/>
  </cols>
  <sheetData>
    <row r="1" spans="1:5" x14ac:dyDescent="0.3">
      <c r="A1" s="65" t="s">
        <v>672</v>
      </c>
      <c r="B1" s="65" t="s">
        <v>603</v>
      </c>
      <c r="C1" s="65" t="s">
        <v>578</v>
      </c>
      <c r="D1" s="65" t="s">
        <v>630</v>
      </c>
      <c r="E1" s="65" t="s">
        <v>633</v>
      </c>
    </row>
    <row r="2" spans="1:5" x14ac:dyDescent="0.3">
      <c r="A2" s="28">
        <v>1001</v>
      </c>
      <c r="B2" s="29" t="s">
        <v>608</v>
      </c>
      <c r="C2" s="29">
        <v>70000</v>
      </c>
      <c r="D2" s="29" t="s">
        <v>668</v>
      </c>
      <c r="E2" s="29">
        <v>7000</v>
      </c>
    </row>
    <row r="3" spans="1:5" x14ac:dyDescent="0.3">
      <c r="A3" s="28">
        <v>1002</v>
      </c>
      <c r="B3" s="29" t="s">
        <v>609</v>
      </c>
      <c r="C3" s="29">
        <v>50000</v>
      </c>
      <c r="D3" s="29" t="s">
        <v>669</v>
      </c>
      <c r="E3" s="29">
        <v>2500</v>
      </c>
    </row>
    <row r="4" spans="1:5" x14ac:dyDescent="0.3">
      <c r="A4" s="28">
        <v>1003</v>
      </c>
      <c r="B4" s="29" t="s">
        <v>610</v>
      </c>
      <c r="C4" s="29">
        <v>45000</v>
      </c>
      <c r="D4" s="29" t="s">
        <v>670</v>
      </c>
      <c r="E4" s="29">
        <v>0</v>
      </c>
    </row>
    <row r="5" spans="1:5" x14ac:dyDescent="0.3">
      <c r="A5" s="64">
        <v>1004</v>
      </c>
      <c r="B5" s="29" t="s">
        <v>611</v>
      </c>
      <c r="C5" s="29">
        <v>75000</v>
      </c>
      <c r="D5" s="29" t="s">
        <v>671</v>
      </c>
      <c r="E5" s="29">
        <v>11250</v>
      </c>
    </row>
    <row r="6" spans="1:5" x14ac:dyDescent="0.3">
      <c r="A6" s="64">
        <v>1005</v>
      </c>
      <c r="B6" s="29" t="s">
        <v>626</v>
      </c>
      <c r="C6" s="29">
        <v>55000</v>
      </c>
      <c r="D6" s="29" t="s">
        <v>669</v>
      </c>
      <c r="E6" s="29">
        <v>2750</v>
      </c>
    </row>
    <row r="9" spans="1:5" x14ac:dyDescent="0.3">
      <c r="A9" s="25"/>
    </row>
    <row r="10" spans="1:5" x14ac:dyDescent="0.3">
      <c r="A10" s="25"/>
      <c r="B10" s="69" t="s">
        <v>676</v>
      </c>
    </row>
    <row r="11" spans="1:5" x14ac:dyDescent="0.3">
      <c r="A11" s="25"/>
      <c r="B11" s="67" t="s">
        <v>673</v>
      </c>
      <c r="C11" s="68" t="s">
        <v>578</v>
      </c>
      <c r="D11" s="68" t="s">
        <v>633</v>
      </c>
      <c r="E11" s="68" t="s">
        <v>603</v>
      </c>
    </row>
    <row r="12" spans="1:5" x14ac:dyDescent="0.3">
      <c r="A12" s="25"/>
      <c r="B12" s="66">
        <v>1004</v>
      </c>
      <c r="C12" s="66">
        <f>VLOOKUP(B12,A2:E6,MATCH("Sales",A1:E1,0),FALSE)</f>
        <v>75000</v>
      </c>
      <c r="D12" s="66">
        <f>VLOOKUP(B12,A2:E6,MATCH("Bonus Amount",A1:E1,0),FALSE)</f>
        <v>11250</v>
      </c>
      <c r="E12" s="35" t="str">
        <f>VLOOKUP(B12,A2:E6,2,FALSE)</f>
        <v>Mangesh</v>
      </c>
    </row>
    <row r="14" spans="1:5" x14ac:dyDescent="0.3">
      <c r="B14">
        <f>MATCH(B2,B2:B6,0)</f>
        <v>1</v>
      </c>
      <c r="C14" s="63" t="s">
        <v>674</v>
      </c>
    </row>
    <row r="15" spans="1:5" x14ac:dyDescent="0.3">
      <c r="B15">
        <f>MATCH("Bonus Amount",A1:E1,0)</f>
        <v>5</v>
      </c>
      <c r="C15" s="63" t="s">
        <v>675</v>
      </c>
    </row>
    <row r="17" spans="2:6" x14ac:dyDescent="0.3">
      <c r="B17" s="26" t="s">
        <v>677</v>
      </c>
    </row>
    <row r="18" spans="2:6" x14ac:dyDescent="0.3">
      <c r="B18" s="70" t="s">
        <v>673</v>
      </c>
      <c r="C18" s="71" t="s">
        <v>578</v>
      </c>
      <c r="D18" s="71" t="s">
        <v>633</v>
      </c>
    </row>
    <row r="19" spans="2:6" x14ac:dyDescent="0.3">
      <c r="B19">
        <v>1003</v>
      </c>
      <c r="C19">
        <f>INDEX(A2:E6,MATCH(B19,A2:A6,0),MATCH(C1,A1:E1,0))</f>
        <v>45000</v>
      </c>
      <c r="D19">
        <f>INDEX(A2:E6,MATCH(B19,A2:A6,0),MATCH(E1,A1:E1,0))</f>
        <v>0</v>
      </c>
      <c r="F19">
        <f>MATCH(B19,A2:A6,0)</f>
        <v>3</v>
      </c>
    </row>
    <row r="20" spans="2:6" x14ac:dyDescent="0.3">
      <c r="F20">
        <f>MATCH(C1,A1:E1,0)</f>
        <v>3</v>
      </c>
    </row>
  </sheetData>
  <phoneticPr fontId="12" type="noConversion"/>
  <dataValidations count="1">
    <dataValidation type="list" allowBlank="1" showInputMessage="1" showErrorMessage="1" sqref="B12 B19" xr:uid="{6DD947B4-1704-413E-8511-E8C10400EAE4}">
      <formula1>$A$2:$A$6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DMartDataset</vt:lpstr>
      <vt:lpstr>Flashfill</vt:lpstr>
      <vt:lpstr>Customlist</vt:lpstr>
      <vt:lpstr>IF,Iferror</vt:lpstr>
      <vt:lpstr>Sheet8</vt:lpstr>
      <vt:lpstr>Lookup</vt:lpstr>
      <vt:lpstr>Customertype</vt:lpstr>
      <vt:lpstr>Orderdate</vt:lpstr>
      <vt:lpstr>Orders</vt:lpstr>
      <vt:lpstr>PaymentMode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HP</cp:lastModifiedBy>
  <dcterms:created xsi:type="dcterms:W3CDTF">2026-04-17T06:18:56Z</dcterms:created>
  <dcterms:modified xsi:type="dcterms:W3CDTF">2026-07-10T03:41:21Z</dcterms:modified>
</cp:coreProperties>
</file>