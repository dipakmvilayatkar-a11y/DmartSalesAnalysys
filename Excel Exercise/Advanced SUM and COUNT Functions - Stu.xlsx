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p\Desktop\Jul25-N305 DSDA\Excel\"/>
    </mc:Choice>
  </mc:AlternateContent>
  <xr:revisionPtr revIDLastSave="0" documentId="13_ncr:1_{D7EFDAB7-4652-479C-8FB9-9D5CFF3C8D19}" xr6:coauthVersionLast="47" xr6:coauthVersionMax="47" xr10:uidLastSave="{00000000-0000-0000-0000-000000000000}"/>
  <bookViews>
    <workbookView xWindow="-110" yWindow="-110" windowWidth="19420" windowHeight="10420" activeTab="5" xr2:uid="{00000000-000D-0000-FFFF-FFFF00000000}"/>
  </bookViews>
  <sheets>
    <sheet name="SUMIF" sheetId="2" r:id="rId1"/>
    <sheet name="SUMIF-1" sheetId="3" r:id="rId2"/>
    <sheet name="SUMIFS Dataset" sheetId="1" r:id="rId3"/>
    <sheet name="COUNT" sheetId="4" r:id="rId4"/>
    <sheet name="COUNTIF-COUNTIFS" sheetId="5" r:id="rId5"/>
    <sheet name="EXERCISE" sheetId="6" r:id="rId6"/>
  </sheets>
  <definedNames>
    <definedName name="_xlnm._FilterDatabase" localSheetId="5" hidden="1">EXERCISE!$A$15:$E$241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7" i="4" l="1"/>
  <c r="C6" i="4"/>
  <c r="C5" i="4"/>
  <c r="C4" i="4"/>
  <c r="E11" i="4"/>
  <c r="D24" i="3" l="1"/>
  <c r="F10" i="3"/>
  <c r="F7" i="3"/>
  <c r="F6" i="3"/>
  <c r="F5" i="3"/>
  <c r="F4" i="3"/>
  <c r="E12" i="3" l="1"/>
  <c r="F12" i="3" s="1"/>
  <c r="E20" i="3"/>
  <c r="F20" i="3" s="1"/>
  <c r="E21" i="3"/>
  <c r="F21" i="3" s="1"/>
  <c r="E16" i="3"/>
  <c r="F16" i="3" s="1"/>
  <c r="E14" i="3"/>
  <c r="F14" i="3" s="1"/>
  <c r="E18" i="3"/>
  <c r="F18" i="3" s="1"/>
  <c r="E11" i="3"/>
  <c r="F11" i="3" s="1"/>
  <c r="E15" i="3"/>
  <c r="F15" i="3" s="1"/>
  <c r="E23" i="3"/>
  <c r="F23" i="3" s="1"/>
  <c r="E8" i="3"/>
  <c r="F8" i="3" s="1"/>
  <c r="E22" i="3"/>
  <c r="F22" i="3" s="1"/>
  <c r="E13" i="3"/>
  <c r="F13" i="3" s="1"/>
  <c r="E19" i="3"/>
  <c r="F19" i="3" s="1"/>
  <c r="F17" i="3"/>
  <c r="E17" i="3"/>
  <c r="E9" i="3"/>
  <c r="F9" i="3"/>
  <c r="F24" i="3" l="1"/>
</calcChain>
</file>

<file path=xl/sharedStrings.xml><?xml version="1.0" encoding="utf-8"?>
<sst xmlns="http://schemas.openxmlformats.org/spreadsheetml/2006/main" count="947" uniqueCount="142">
  <si>
    <t>States</t>
  </si>
  <si>
    <t>Product</t>
  </si>
  <si>
    <t>Quantity</t>
  </si>
  <si>
    <t>Sales</t>
  </si>
  <si>
    <t>California</t>
  </si>
  <si>
    <t>Shirt</t>
  </si>
  <si>
    <t>New Jersey</t>
  </si>
  <si>
    <t>T-shirt</t>
  </si>
  <si>
    <t>Jacket</t>
  </si>
  <si>
    <t>Case 1</t>
  </si>
  <si>
    <t>Case 2</t>
  </si>
  <si>
    <t>Product 1</t>
  </si>
  <si>
    <t>Product 2</t>
  </si>
  <si>
    <t>Case 3</t>
  </si>
  <si>
    <t>Quantity Between</t>
  </si>
  <si>
    <t xml:space="preserve">&gt;300 </t>
  </si>
  <si>
    <t>&lt;=600</t>
  </si>
  <si>
    <t>Employee</t>
  </si>
  <si>
    <t>Sale ID #</t>
  </si>
  <si>
    <t>Sales Total ($)</t>
  </si>
  <si>
    <t>Simon</t>
  </si>
  <si>
    <t>Martha</t>
  </si>
  <si>
    <t>George</t>
  </si>
  <si>
    <t>Mark</t>
  </si>
  <si>
    <t>Isabella</t>
  </si>
  <si>
    <t>To evaluate the total of all sales over $50</t>
  </si>
  <si>
    <t>Find the sum of all of Mark's sales</t>
  </si>
  <si>
    <t>=SUMIF(range, criteria, [sum_range])</t>
  </si>
  <si>
    <r>
      <t>range: – </t>
    </r>
    <r>
      <rPr>
        <sz val="8"/>
        <color rgb="FF232323"/>
        <rFont val="Poppins"/>
      </rPr>
      <t>Range is that column or row of selected cells on which we want to apply the condition or criteria.</t>
    </r>
  </si>
  <si>
    <r>
      <rPr>
        <b/>
        <sz val="11"/>
        <color theme="1"/>
        <rFont val="Calibri"/>
        <family val="2"/>
        <scheme val="minor"/>
      </rPr>
      <t>[sum_range]:</t>
    </r>
    <r>
      <rPr>
        <sz val="11"/>
        <color theme="1"/>
        <rFont val="Calibri"/>
        <family val="2"/>
        <scheme val="minor"/>
      </rPr>
      <t xml:space="preserve"> – Sum range is that range of selected cells, consisting of the values we want to total or sum up. This is optional because in the case where the range and sum_ range are the same. It means we want to make a total of the value when a condition is cleared or matched from the other range of cells, not from the same column or row of the selected range.
</t>
    </r>
  </si>
  <si>
    <t>Date wise Purchases</t>
  </si>
  <si>
    <t xml:space="preserve">Date </t>
  </si>
  <si>
    <t xml:space="preserve">Name of Items </t>
  </si>
  <si>
    <t xml:space="preserve">Quantity Purchase </t>
  </si>
  <si>
    <t xml:space="preserve">Rate </t>
  </si>
  <si>
    <t xml:space="preserve">Amount </t>
  </si>
  <si>
    <t xml:space="preserve">Chairs </t>
  </si>
  <si>
    <t xml:space="preserve">Beds  </t>
  </si>
  <si>
    <t xml:space="preserve">Sofa Sets  </t>
  </si>
  <si>
    <t xml:space="preserve">Office Table </t>
  </si>
  <si>
    <t>Almirah</t>
  </si>
  <si>
    <t xml:space="preserve">Total </t>
  </si>
  <si>
    <t xml:space="preserve">Product wise total Purchases </t>
  </si>
  <si>
    <t>Name of Items</t>
  </si>
  <si>
    <t xml:space="preserve">Total Sale Amount </t>
  </si>
  <si>
    <t>Function</t>
  </si>
  <si>
    <t>Usage</t>
  </si>
  <si>
    <t>Example</t>
  </si>
  <si>
    <t>COUNT</t>
  </si>
  <si>
    <t>Counts only numbers</t>
  </si>
  <si>
    <t>COUNTA</t>
  </si>
  <si>
    <t>Counts non-blank cells (numbers, text, errors)</t>
  </si>
  <si>
    <t>COUNTBLANK</t>
  </si>
  <si>
    <t>Counts empty cells</t>
  </si>
  <si>
    <t>COUNTIF</t>
  </si>
  <si>
    <t>Counts cells meeting a condition</t>
  </si>
  <si>
    <t>COUNTIFS</t>
  </si>
  <si>
    <t>Counts cells with multiple conditions</t>
  </si>
  <si>
    <t>The Excel “SUMIFS” function is used when we need to sum up the value on multiple criteria. For example, If we have given the total sale of all products within India, From this data we can use two criteria to get the total sale of pens in the state of Punjab. It is possible only with the “SUMIFS” formula. It can be sum up the value of the cells based on a condition of any Text, number, and logical text. It is also working on matching concepts like VLOOKUP and HLOOKUP but with a condition.</t>
  </si>
  <si>
    <r>
      <t>sum_range: – </t>
    </r>
    <r>
      <rPr>
        <sz val="8"/>
        <color rgb="FF232323"/>
        <rFont val="Poppins"/>
      </rPr>
      <t>Sum range is that range of selected cells, consisting of the values we want to total or sum up. </t>
    </r>
  </si>
  <si>
    <r>
      <t>criteria_range1: – </t>
    </r>
    <r>
      <rPr>
        <sz val="8"/>
        <color rgb="FF232323"/>
        <rFont val="Poppins"/>
      </rPr>
      <t>criteria_range1 is that column or row of selected cells on which we want to apply the condition or criteria.</t>
    </r>
  </si>
  <si>
    <r>
      <t>criteria1: – </t>
    </r>
    <r>
      <rPr>
        <sz val="8"/>
        <color rgb="FF232323"/>
        <rFont val="Poppins"/>
      </rPr>
      <t> This is a condition that we have to apply to the selected </t>
    </r>
    <r>
      <rPr>
        <b/>
        <sz val="8"/>
        <color rgb="FF232323"/>
        <rFont val="Inherit"/>
      </rPr>
      <t>criteria_range1.</t>
    </r>
  </si>
  <si>
    <t>Order no.</t>
  </si>
  <si>
    <t>Date</t>
  </si>
  <si>
    <t>Driver's name</t>
  </si>
  <si>
    <t>Item</t>
  </si>
  <si>
    <t>Number of items</t>
  </si>
  <si>
    <t>Transport</t>
  </si>
  <si>
    <t>Destination</t>
  </si>
  <si>
    <t>John May</t>
  </si>
  <si>
    <t>TV</t>
  </si>
  <si>
    <t>truck 4</t>
  </si>
  <si>
    <t>Boston</t>
  </si>
  <si>
    <t>Peter White</t>
  </si>
  <si>
    <t>washing machine</t>
  </si>
  <si>
    <t>truck 3</t>
  </si>
  <si>
    <t>NY</t>
  </si>
  <si>
    <t>Carl Nowak</t>
  </si>
  <si>
    <t>Philadelphia</t>
  </si>
  <si>
    <t>George Ramsay</t>
  </si>
  <si>
    <t>refrigerator</t>
  </si>
  <si>
    <t>truck 1</t>
  </si>
  <si>
    <t>Baltimore</t>
  </si>
  <si>
    <t>truck 2</t>
  </si>
  <si>
    <t>Pittsburgh</t>
  </si>
  <si>
    <t>Mertl Pavel</t>
  </si>
  <si>
    <t>microwave</t>
  </si>
  <si>
    <t>airplane</t>
  </si>
  <si>
    <t>result</t>
  </si>
  <si>
    <t>countif / countifs</t>
  </si>
  <si>
    <t>number of orders in Boston :</t>
  </si>
  <si>
    <t>number of microwave orders  :</t>
  </si>
  <si>
    <t>number of journeys with truck 3:</t>
  </si>
  <si>
    <t>number of Peter White journeys:</t>
  </si>
  <si>
    <t>how many times are no. of items less than 20:</t>
  </si>
  <si>
    <t>sumif / sumifs</t>
  </si>
  <si>
    <t>sum of refrigerator items:</t>
  </si>
  <si>
    <t>sum of washing machine items:</t>
  </si>
  <si>
    <t>sum of items transported by truck 4:</t>
  </si>
  <si>
    <t>sum of items transported by trucks:</t>
  </si>
  <si>
    <t>countifs</t>
  </si>
  <si>
    <t>number of microvawe orders in Boston :</t>
  </si>
  <si>
    <t>number of Peter White journeys with truck 1:</t>
  </si>
  <si>
    <t>number of orders in Boston after 2/3/2013:</t>
  </si>
  <si>
    <t>number of orders between 2/3/2013 and 2/6/2013:</t>
  </si>
  <si>
    <t>sumifs</t>
  </si>
  <si>
    <t>sum of microwaves transported to NY:</t>
  </si>
  <si>
    <t>sum of items transported to Pittsburgh by truck 1:</t>
  </si>
  <si>
    <t>sum of items ordered between 2/3/2013 and 2/6/2013:</t>
  </si>
  <si>
    <t>sum of items transported to NY, Baltimore and Philadelphia:</t>
  </si>
  <si>
    <t>Service</t>
  </si>
  <si>
    <t>How many times total</t>
  </si>
  <si>
    <t>Total price</t>
  </si>
  <si>
    <t>How many times by cash</t>
  </si>
  <si>
    <t>How many times by credit card</t>
  </si>
  <si>
    <t>Total price by cash</t>
  </si>
  <si>
    <t>Shaving</t>
  </si>
  <si>
    <t>Washing and combing</t>
  </si>
  <si>
    <t>Dyeing</t>
  </si>
  <si>
    <t>Meeting hairstyles</t>
  </si>
  <si>
    <t>Stylist name</t>
  </si>
  <si>
    <t>How many times Shaving</t>
  </si>
  <si>
    <t>How many times Kids</t>
  </si>
  <si>
    <t>Sum of price for Shaving between 5/10/2013 and 5/20/2013</t>
  </si>
  <si>
    <t>Jane</t>
  </si>
  <si>
    <t>Alex</t>
  </si>
  <si>
    <t>Summary May 2013</t>
  </si>
  <si>
    <t>Payment</t>
  </si>
  <si>
    <t>Price</t>
  </si>
  <si>
    <t>cash</t>
  </si>
  <si>
    <t>credit card</t>
  </si>
  <si>
    <t>Lucy</t>
  </si>
  <si>
    <t>All service</t>
  </si>
  <si>
    <t>Rachel</t>
  </si>
  <si>
    <t>Ashley</t>
  </si>
  <si>
    <t>Sandy</t>
  </si>
  <si>
    <t>Kids</t>
  </si>
  <si>
    <t xml:space="preserve">The Excel “SUMIF” Function is used where we need to sum up the value on single criteria i.e. total of the sale of pen, pencil, or notebooks. It can be sum up the value of the cells based on a condition of any Text, number, and logical text. It is also working on matching concepts like VLOOKUP and HLOOKUP but with a condition.
</t>
  </si>
  <si>
    <t>Total Quantity</t>
  </si>
  <si>
    <t>Values</t>
  </si>
  <si>
    <t>hello</t>
  </si>
  <si>
    <t>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</si>
</sst>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quot;₹&quot;\ * #,##0.00_ ;_ &quot;₹&quot;\ * \-#,##0.00_ ;_ &quot;₹&quot;\ * &quot;-&quot;??_ ;_ @_ "/>
    <numFmt numFmtId="43" formatCode="_ * #,##0.00_ ;_ * \-#,##0.00_ ;_ * &quot;-&quot;??_ ;_ @_ "/>
    <numFmt numFmtId="164" formatCode="&quot;$&quot;#,##0"/>
    <numFmt numFmtId="165" formatCode="[$$-409]#,##0"/>
    <numFmt numFmtId="166" formatCode="_ * #,##0_ ;_ * \-#,##0_ ;_ * &quot;-&quot;??_ ;_ @_ "/>
  </numFmts>
  <fonts count="2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sz val="8"/>
      <color rgb="FF232323"/>
      <name val="Poppins"/>
    </font>
    <font>
      <b/>
      <sz val="8"/>
      <color rgb="FF232323"/>
      <name val="Poppins"/>
    </font>
    <font>
      <b/>
      <sz val="9"/>
      <color rgb="FF232323"/>
      <name val="Poppins"/>
    </font>
    <font>
      <b/>
      <sz val="8"/>
      <color rgb="FF232323"/>
      <name val="Inherit"/>
    </font>
    <font>
      <b/>
      <sz val="16"/>
      <color rgb="FF002060"/>
      <name val="Verdana"/>
      <family val="2"/>
    </font>
    <font>
      <b/>
      <sz val="12"/>
      <color theme="0"/>
      <name val="Verdana"/>
      <family val="2"/>
    </font>
    <font>
      <sz val="12"/>
      <color theme="1"/>
      <name val="Verdana"/>
      <family val="2"/>
    </font>
    <font>
      <sz val="11"/>
      <color theme="1"/>
      <name val="Cambria"/>
      <family val="2"/>
    </font>
    <font>
      <b/>
      <sz val="12"/>
      <color theme="1"/>
      <name val="Verdana"/>
      <family val="2"/>
    </font>
    <font>
      <b/>
      <sz val="8"/>
      <color rgb="FF212529"/>
      <name val="Calibri"/>
      <family val="2"/>
      <scheme val="minor"/>
    </font>
    <font>
      <sz val="8"/>
      <color rgb="FF212529"/>
      <name val="Calibri"/>
      <family val="2"/>
      <scheme val="minor"/>
    </font>
    <font>
      <b/>
      <sz val="10"/>
      <color rgb="FF232323"/>
      <name val="Calibri"/>
      <family val="2"/>
      <scheme val="minor"/>
    </font>
    <font>
      <i/>
      <sz val="11"/>
      <color theme="1"/>
      <name val="Calibri"/>
      <family val="2"/>
      <charset val="238"/>
      <scheme val="minor"/>
    </font>
    <font>
      <sz val="10"/>
      <name val="Arial CE"/>
      <charset val="238"/>
    </font>
    <font>
      <sz val="11"/>
      <name val="Calibri"/>
      <family val="2"/>
      <charset val="238"/>
      <scheme val="minor"/>
    </font>
    <font>
      <b/>
      <sz val="11"/>
      <name val="Arial CE"/>
      <charset val="238"/>
    </font>
  </fonts>
  <fills count="9">
    <fill>
      <patternFill patternType="none"/>
    </fill>
    <fill>
      <patternFill patternType="gray125"/>
    </fill>
    <fill>
      <patternFill patternType="solid">
        <fgColor theme="9" tint="0.79998168889431442"/>
        <bgColor indexed="64"/>
      </patternFill>
    </fill>
    <fill>
      <patternFill patternType="solid">
        <fgColor rgb="FFFFFFFF"/>
        <bgColor indexed="64"/>
      </patternFill>
    </fill>
    <fill>
      <patternFill patternType="solid">
        <fgColor rgb="FF002060"/>
        <bgColor indexed="64"/>
      </patternFill>
    </fill>
    <fill>
      <patternFill patternType="solid">
        <fgColor rgb="FF8BB2FF"/>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rgb="FFFFFF0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style="thin">
        <color indexed="64"/>
      </bottom>
      <diagonal/>
    </border>
    <border>
      <left style="thin">
        <color rgb="FF002060"/>
      </left>
      <right style="thin">
        <color rgb="FF002060"/>
      </right>
      <top style="thin">
        <color rgb="FF002060"/>
      </top>
      <bottom style="thin">
        <color rgb="FF002060"/>
      </bottom>
      <diagonal/>
    </border>
    <border>
      <left/>
      <right/>
      <top style="thin">
        <color rgb="FF002060"/>
      </top>
      <bottom style="double">
        <color rgb="FF002060"/>
      </bottom>
      <diagonal/>
    </border>
    <border>
      <left/>
      <right/>
      <top/>
      <bottom style="thin">
        <color rgb="FF002060"/>
      </bottom>
      <diagonal/>
    </border>
    <border>
      <left/>
      <right style="thin">
        <color indexed="64"/>
      </right>
      <top/>
      <bottom/>
      <diagonal/>
    </border>
  </borders>
  <cellStyleXfs count="7">
    <xf numFmtId="0" fontId="0" fillId="0" borderId="0"/>
    <xf numFmtId="44" fontId="1" fillId="0" borderId="0" applyFont="0" applyFill="0" applyBorder="0" applyAlignment="0" applyProtection="0"/>
    <xf numFmtId="43" fontId="12" fillId="0" borderId="0" applyFont="0" applyFill="0" applyBorder="0" applyAlignment="0" applyProtection="0"/>
    <xf numFmtId="0" fontId="12" fillId="0" borderId="0"/>
    <xf numFmtId="43" fontId="12" fillId="0" borderId="0" applyFont="0" applyFill="0" applyBorder="0" applyAlignment="0" applyProtection="0"/>
    <xf numFmtId="0" fontId="18" fillId="0" borderId="0"/>
    <xf numFmtId="0" fontId="18" fillId="0" borderId="0"/>
  </cellStyleXfs>
  <cellXfs count="59">
    <xf numFmtId="0" fontId="0" fillId="0" borderId="0" xfId="0"/>
    <xf numFmtId="0" fontId="3" fillId="2" borderId="1" xfId="0" applyFont="1" applyFill="1" applyBorder="1" applyAlignment="1">
      <alignment horizontal="center" vertical="center"/>
    </xf>
    <xf numFmtId="0" fontId="0" fillId="0" borderId="1" xfId="0" applyBorder="1"/>
    <xf numFmtId="164" fontId="0" fillId="0" borderId="1" xfId="0" applyNumberFormat="1" applyBorder="1"/>
    <xf numFmtId="0" fontId="3" fillId="0" borderId="1" xfId="0" applyFont="1" applyBorder="1" applyAlignment="1">
      <alignment horizontal="center" vertical="center"/>
    </xf>
    <xf numFmtId="0" fontId="0" fillId="0" borderId="1" xfId="0" applyBorder="1" applyAlignment="1">
      <alignment horizontal="center" vertical="center"/>
    </xf>
    <xf numFmtId="0" fontId="4" fillId="0" borderId="0" xfId="0" applyFont="1" applyAlignment="1">
      <alignment horizontal="center" vertical="center"/>
    </xf>
    <xf numFmtId="164" fontId="0" fillId="0" borderId="0" xfId="0" applyNumberFormat="1"/>
    <xf numFmtId="0" fontId="6" fillId="0" borderId="0" xfId="0" applyFont="1"/>
    <xf numFmtId="0" fontId="10" fillId="4" borderId="9" xfId="0" applyFont="1" applyFill="1" applyBorder="1" applyAlignment="1">
      <alignment horizontal="center" vertical="center"/>
    </xf>
    <xf numFmtId="0" fontId="10" fillId="4" borderId="9" xfId="0" applyFont="1" applyFill="1" applyBorder="1" applyAlignment="1">
      <alignment horizontal="center" vertical="center" wrapText="1"/>
    </xf>
    <xf numFmtId="14" fontId="11" fillId="0" borderId="9" xfId="0" applyNumberFormat="1" applyFont="1" applyBorder="1" applyAlignment="1">
      <alignment horizontal="center" vertical="center"/>
    </xf>
    <xf numFmtId="166" fontId="11" fillId="0" borderId="9" xfId="2" applyNumberFormat="1" applyFont="1" applyBorder="1" applyAlignment="1">
      <alignment horizontal="center" vertical="center"/>
    </xf>
    <xf numFmtId="166" fontId="11" fillId="0" borderId="9" xfId="2" applyNumberFormat="1" applyFont="1" applyBorder="1" applyAlignment="1">
      <alignment vertical="center"/>
    </xf>
    <xf numFmtId="0" fontId="13" fillId="0" borderId="10" xfId="0" applyFont="1" applyBorder="1"/>
    <xf numFmtId="166" fontId="13" fillId="0" borderId="10" xfId="2" applyNumberFormat="1" applyFont="1" applyBorder="1"/>
    <xf numFmtId="166" fontId="13" fillId="5" borderId="9" xfId="2" applyNumberFormat="1" applyFont="1" applyFill="1" applyBorder="1" applyAlignment="1">
      <alignment horizontal="left" vertical="center"/>
    </xf>
    <xf numFmtId="0" fontId="14" fillId="3" borderId="6" xfId="0" applyFont="1" applyFill="1" applyBorder="1" applyAlignment="1">
      <alignment horizontal="center" vertical="center" wrapText="1"/>
    </xf>
    <xf numFmtId="0" fontId="15" fillId="3" borderId="7"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14" fillId="3" borderId="6" xfId="0" applyFont="1" applyFill="1" applyBorder="1" applyAlignment="1">
      <alignment horizontal="center" vertical="top" wrapText="1"/>
    </xf>
    <xf numFmtId="0" fontId="15" fillId="3" borderId="7" xfId="0" applyFont="1" applyFill="1" applyBorder="1" applyAlignment="1">
      <alignment horizontal="center" vertical="top" wrapText="1"/>
    </xf>
    <xf numFmtId="0" fontId="15" fillId="3" borderId="1" xfId="0" applyFont="1" applyFill="1" applyBorder="1" applyAlignment="1">
      <alignment horizontal="center" vertical="top" wrapText="1"/>
    </xf>
    <xf numFmtId="0" fontId="14" fillId="3" borderId="7"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2" fillId="0" borderId="1" xfId="0" applyFont="1" applyBorder="1" applyAlignment="1">
      <alignment horizontal="center" vertical="center"/>
    </xf>
    <xf numFmtId="0" fontId="0" fillId="6" borderId="1" xfId="0" applyFill="1" applyBorder="1" applyAlignment="1">
      <alignment horizontal="center" vertical="center" wrapText="1"/>
    </xf>
    <xf numFmtId="14" fontId="0" fillId="0" borderId="1" xfId="0" applyNumberFormat="1" applyBorder="1"/>
    <xf numFmtId="0" fontId="0" fillId="0" borderId="1" xfId="0" applyBorder="1" applyAlignment="1">
      <alignment wrapText="1"/>
    </xf>
    <xf numFmtId="0" fontId="17" fillId="0" borderId="0" xfId="0" applyFont="1"/>
    <xf numFmtId="0" fontId="0" fillId="0" borderId="0" xfId="0" applyAlignment="1">
      <alignment horizontal="right"/>
    </xf>
    <xf numFmtId="0" fontId="0" fillId="7" borderId="1" xfId="0" applyFill="1" applyBorder="1" applyAlignment="1">
      <alignment horizontal="center" vertical="center" wrapText="1"/>
    </xf>
    <xf numFmtId="0" fontId="0" fillId="7" borderId="12" xfId="0" applyFill="1" applyBorder="1" applyAlignment="1">
      <alignment horizontal="center" vertical="center" wrapText="1"/>
    </xf>
    <xf numFmtId="0" fontId="19" fillId="0" borderId="1" xfId="5" applyFont="1" applyBorder="1"/>
    <xf numFmtId="0" fontId="19" fillId="0" borderId="1" xfId="6" applyFont="1" applyBorder="1"/>
    <xf numFmtId="0" fontId="19" fillId="0" borderId="0" xfId="5" applyFont="1"/>
    <xf numFmtId="14" fontId="19" fillId="0" borderId="1" xfId="5" applyNumberFormat="1" applyFont="1" applyBorder="1" applyAlignment="1">
      <alignment horizontal="left"/>
    </xf>
    <xf numFmtId="44" fontId="0" fillId="0" borderId="1" xfId="1" applyFont="1" applyBorder="1"/>
    <xf numFmtId="0" fontId="0" fillId="0" borderId="1" xfId="6" applyFont="1" applyBorder="1"/>
    <xf numFmtId="0" fontId="0" fillId="0" borderId="1" xfId="5" applyFont="1" applyBorder="1"/>
    <xf numFmtId="49" fontId="11" fillId="0" borderId="9" xfId="0" applyNumberFormat="1" applyFont="1" applyBorder="1" applyAlignment="1">
      <alignment horizontal="left" vertical="center"/>
    </xf>
    <xf numFmtId="165" fontId="2" fillId="2" borderId="1" xfId="0" applyNumberFormat="1" applyFont="1" applyFill="1"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center"/>
    </xf>
    <xf numFmtId="166" fontId="13" fillId="0" borderId="10" xfId="0" applyNumberFormat="1" applyFont="1" applyBorder="1"/>
    <xf numFmtId="0" fontId="0" fillId="0" borderId="0" xfId="0" applyAlignment="1">
      <alignment horizontal="center"/>
    </xf>
    <xf numFmtId="0" fontId="8" fillId="0" borderId="0" xfId="0" applyFont="1" applyAlignment="1">
      <alignment horizontal="left" vertical="top" wrapText="1"/>
    </xf>
    <xf numFmtId="0" fontId="16" fillId="0" borderId="0" xfId="0" applyFont="1" applyAlignment="1">
      <alignment horizontal="left" vertical="top" wrapText="1"/>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7" fillId="0" borderId="0" xfId="0" applyFont="1" applyAlignment="1">
      <alignment horizontal="left" vertical="top" wrapText="1"/>
    </xf>
    <xf numFmtId="0" fontId="6" fillId="0" borderId="0" xfId="0" applyFont="1" applyAlignment="1">
      <alignment horizontal="left"/>
    </xf>
    <xf numFmtId="0" fontId="0" fillId="0" borderId="0" xfId="0" applyAlignment="1">
      <alignment horizontal="left" vertical="top" wrapText="1"/>
    </xf>
    <xf numFmtId="0" fontId="9" fillId="0" borderId="0" xfId="0" applyFont="1" applyAlignment="1">
      <alignment horizontal="left"/>
    </xf>
    <xf numFmtId="0" fontId="9" fillId="0" borderId="11" xfId="0" applyFont="1" applyBorder="1" applyAlignment="1">
      <alignment horizontal="left"/>
    </xf>
    <xf numFmtId="0" fontId="20" fillId="0" borderId="8" xfId="0" applyFont="1" applyBorder="1" applyAlignment="1">
      <alignment horizontal="center"/>
    </xf>
    <xf numFmtId="0" fontId="0" fillId="8" borderId="0" xfId="0" applyFill="1"/>
  </cellXfs>
  <cellStyles count="7">
    <cellStyle name="Comma 2" xfId="2" xr:uid="{FF940D1D-5F33-4F2E-8052-58B7E888ABAC}"/>
    <cellStyle name="Comma 3" xfId="4" xr:uid="{681FFAF8-709E-4CAA-A155-2C4A05394BA3}"/>
    <cellStyle name="Currency" xfId="1" builtinId="4"/>
    <cellStyle name="Normal" xfId="0" builtinId="0"/>
    <cellStyle name="Normal 2" xfId="3" xr:uid="{409BEA77-F6E0-4AA0-BAB7-80167629389A}"/>
    <cellStyle name="normální_List1" xfId="6" xr:uid="{14B213D8-0675-4F10-88F7-1C8C2DCB1D93}"/>
    <cellStyle name="normální_List2" xfId="5" xr:uid="{D4C65AC0-1060-4671-9592-F8B0ACD1976B}"/>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emf"/><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7</xdr:col>
      <xdr:colOff>212266</xdr:colOff>
      <xdr:row>11</xdr:row>
      <xdr:rowOff>0</xdr:rowOff>
    </xdr:from>
    <xdr:to>
      <xdr:col>10</xdr:col>
      <xdr:colOff>6350</xdr:colOff>
      <xdr:row>22</xdr:row>
      <xdr:rowOff>19050</xdr:rowOff>
    </xdr:to>
    <xdr:pic>
      <xdr:nvPicPr>
        <xdr:cNvPr id="6" name="Picture 5">
          <a:extLst>
            <a:ext uri="{FF2B5EF4-FFF2-40B4-BE49-F238E27FC236}">
              <a16:creationId xmlns:a16="http://schemas.microsoft.com/office/drawing/2014/main" id="{25613BDF-0574-3678-9645-834B4EA1D6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38416" y="2736850"/>
          <a:ext cx="3534234" cy="2114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269359</xdr:colOff>
      <xdr:row>1</xdr:row>
      <xdr:rowOff>175521</xdr:rowOff>
    </xdr:from>
    <xdr:to>
      <xdr:col>16</xdr:col>
      <xdr:colOff>282059</xdr:colOff>
      <xdr:row>6</xdr:row>
      <xdr:rowOff>8195</xdr:rowOff>
    </xdr:to>
    <xdr:pic>
      <xdr:nvPicPr>
        <xdr:cNvPr id="2" name="Picture 1">
          <a:extLst>
            <a:ext uri="{FF2B5EF4-FFF2-40B4-BE49-F238E27FC236}">
              <a16:creationId xmlns:a16="http://schemas.microsoft.com/office/drawing/2014/main" id="{024D2442-E51B-5C9C-C192-D30CA036DE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90812" y="360051"/>
          <a:ext cx="2444153" cy="7878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485531</xdr:colOff>
      <xdr:row>7</xdr:row>
      <xdr:rowOff>50692</xdr:rowOff>
    </xdr:from>
    <xdr:to>
      <xdr:col>16</xdr:col>
      <xdr:colOff>498231</xdr:colOff>
      <xdr:row>11</xdr:row>
      <xdr:rowOff>57041</xdr:rowOff>
    </xdr:to>
    <xdr:pic>
      <xdr:nvPicPr>
        <xdr:cNvPr id="3" name="Picture 2">
          <a:extLst>
            <a:ext uri="{FF2B5EF4-FFF2-40B4-BE49-F238E27FC236}">
              <a16:creationId xmlns:a16="http://schemas.microsoft.com/office/drawing/2014/main" id="{2DBDFC75-A092-B3CA-35AC-84DF26B91B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806984" y="1385820"/>
          <a:ext cx="2444153" cy="7878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55848</xdr:colOff>
      <xdr:row>12</xdr:row>
      <xdr:rowOff>114517</xdr:rowOff>
    </xdr:from>
    <xdr:to>
      <xdr:col>17</xdr:col>
      <xdr:colOff>68548</xdr:colOff>
      <xdr:row>16</xdr:row>
      <xdr:rowOff>122610</xdr:rowOff>
    </xdr:to>
    <xdr:pic>
      <xdr:nvPicPr>
        <xdr:cNvPr id="4" name="Picture 3">
          <a:extLst>
            <a:ext uri="{FF2B5EF4-FFF2-40B4-BE49-F238E27FC236}">
              <a16:creationId xmlns:a16="http://schemas.microsoft.com/office/drawing/2014/main" id="{2760E04F-B15F-8CF9-31E0-BFF85278491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985164" y="2426568"/>
          <a:ext cx="2444153" cy="7679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292100</xdr:colOff>
      <xdr:row>0</xdr:row>
      <xdr:rowOff>215900</xdr:rowOff>
    </xdr:from>
    <xdr:to>
      <xdr:col>16</xdr:col>
      <xdr:colOff>336550</xdr:colOff>
      <xdr:row>7</xdr:row>
      <xdr:rowOff>481386</xdr:rowOff>
    </xdr:to>
    <xdr:pic>
      <xdr:nvPicPr>
        <xdr:cNvPr id="2" name="Picture 1">
          <a:extLst>
            <a:ext uri="{FF2B5EF4-FFF2-40B4-BE49-F238E27FC236}">
              <a16:creationId xmlns:a16="http://schemas.microsoft.com/office/drawing/2014/main" id="{B99BB601-D7DC-C38A-2A93-130A884A2A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95900" y="215900"/>
          <a:ext cx="6140450" cy="22911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BC29C-819C-435B-AD0E-F0C714799A65}">
  <dimension ref="A1:O13"/>
  <sheetViews>
    <sheetView topLeftCell="A5" zoomScale="162" zoomScaleNormal="130" workbookViewId="0">
      <selection activeCell="F11" sqref="F11"/>
    </sheetView>
  </sheetViews>
  <sheetFormatPr defaultRowHeight="14.5"/>
  <sheetData>
    <row r="1" spans="1:15" ht="109.5" customHeight="1">
      <c r="A1" s="52" t="s">
        <v>137</v>
      </c>
      <c r="B1" s="52"/>
      <c r="C1" s="52"/>
      <c r="D1" s="52"/>
      <c r="E1" s="52"/>
      <c r="F1" s="52"/>
      <c r="G1" s="52"/>
      <c r="H1" s="52"/>
      <c r="I1" s="52"/>
      <c r="J1" s="52"/>
      <c r="K1" s="52"/>
      <c r="L1" s="52"/>
      <c r="M1" s="52"/>
      <c r="N1" s="52"/>
    </row>
    <row r="3" spans="1:15" ht="21">
      <c r="B3" s="17" t="s">
        <v>17</v>
      </c>
      <c r="C3" s="23" t="s">
        <v>18</v>
      </c>
      <c r="D3" s="24" t="s">
        <v>19</v>
      </c>
      <c r="G3" s="53" t="s">
        <v>27</v>
      </c>
      <c r="H3" s="53"/>
      <c r="I3" s="53"/>
      <c r="J3" s="53"/>
    </row>
    <row r="4" spans="1:15" ht="17.5">
      <c r="B4" s="17" t="s">
        <v>20</v>
      </c>
      <c r="C4" s="18">
        <v>1</v>
      </c>
      <c r="D4" s="19">
        <v>86</v>
      </c>
      <c r="G4" s="8" t="s">
        <v>28</v>
      </c>
    </row>
    <row r="5" spans="1:15" ht="14.5" customHeight="1">
      <c r="B5" s="17" t="s">
        <v>21</v>
      </c>
      <c r="C5" s="18">
        <v>2</v>
      </c>
      <c r="D5" s="19">
        <v>77</v>
      </c>
      <c r="G5" s="54" t="s">
        <v>29</v>
      </c>
      <c r="H5" s="54"/>
      <c r="I5" s="54"/>
      <c r="J5" s="54"/>
      <c r="K5" s="54"/>
      <c r="L5" s="54"/>
      <c r="M5" s="54"/>
      <c r="N5" s="54"/>
      <c r="O5" s="54"/>
    </row>
    <row r="6" spans="1:15">
      <c r="B6" s="20" t="s">
        <v>22</v>
      </c>
      <c r="C6" s="21">
        <v>3</v>
      </c>
      <c r="D6" s="22">
        <v>53</v>
      </c>
      <c r="G6" s="54"/>
      <c r="H6" s="54"/>
      <c r="I6" s="54"/>
      <c r="J6" s="54"/>
      <c r="K6" s="54"/>
      <c r="L6" s="54"/>
      <c r="M6" s="54"/>
      <c r="N6" s="54"/>
      <c r="O6" s="54"/>
    </row>
    <row r="7" spans="1:15">
      <c r="B7" s="17" t="s">
        <v>23</v>
      </c>
      <c r="C7" s="18">
        <v>4</v>
      </c>
      <c r="D7" s="19">
        <v>40</v>
      </c>
      <c r="G7" s="54"/>
      <c r="H7" s="54"/>
      <c r="I7" s="54"/>
      <c r="J7" s="54"/>
      <c r="K7" s="54"/>
      <c r="L7" s="54"/>
      <c r="M7" s="54"/>
      <c r="N7" s="54"/>
      <c r="O7" s="54"/>
    </row>
    <row r="8" spans="1:15">
      <c r="B8" s="17" t="s">
        <v>24</v>
      </c>
      <c r="C8" s="18">
        <v>5</v>
      </c>
      <c r="D8" s="19">
        <v>80</v>
      </c>
      <c r="G8" s="54"/>
      <c r="H8" s="54"/>
      <c r="I8" s="54"/>
      <c r="J8" s="54"/>
      <c r="K8" s="54"/>
      <c r="L8" s="54"/>
      <c r="M8" s="54"/>
      <c r="N8" s="54"/>
      <c r="O8" s="54"/>
    </row>
    <row r="9" spans="1:15">
      <c r="B9" s="17" t="s">
        <v>23</v>
      </c>
      <c r="C9" s="18">
        <v>6</v>
      </c>
      <c r="D9" s="19">
        <v>49</v>
      </c>
      <c r="G9" s="54"/>
      <c r="H9" s="54"/>
      <c r="I9" s="54"/>
      <c r="J9" s="54"/>
      <c r="K9" s="54"/>
      <c r="L9" s="54"/>
      <c r="M9" s="54"/>
      <c r="N9" s="54"/>
      <c r="O9" s="54"/>
    </row>
    <row r="11" spans="1:15">
      <c r="B11" t="s">
        <v>25</v>
      </c>
      <c r="F11" s="58"/>
    </row>
    <row r="13" spans="1:15">
      <c r="B13" t="s">
        <v>26</v>
      </c>
      <c r="F13" s="58"/>
    </row>
  </sheetData>
  <mergeCells count="3">
    <mergeCell ref="A1:N1"/>
    <mergeCell ref="G3:J3"/>
    <mergeCell ref="G5:O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DE0F9-068F-4C77-A011-4BC8B19B0061}">
  <dimension ref="B2:J25"/>
  <sheetViews>
    <sheetView topLeftCell="A3" zoomScale="78" workbookViewId="0">
      <selection activeCell="M7" sqref="M7"/>
    </sheetView>
  </sheetViews>
  <sheetFormatPr defaultRowHeight="14.5"/>
  <cols>
    <col min="1" max="1" width="14" bestFit="1" customWidth="1"/>
    <col min="2" max="3" width="14.54296875" bestFit="1" customWidth="1"/>
    <col min="4" max="4" width="9.7265625" bestFit="1" customWidth="1"/>
    <col min="5" max="5" width="10.453125" bestFit="1" customWidth="1"/>
    <col min="6" max="6" width="16.08984375" bestFit="1" customWidth="1"/>
    <col min="7" max="7" width="23.26953125" customWidth="1"/>
    <col min="8" max="8" width="18" bestFit="1" customWidth="1"/>
    <col min="9" max="9" width="16.54296875" customWidth="1"/>
    <col min="10" max="10" width="19" customWidth="1"/>
  </cols>
  <sheetData>
    <row r="2" spans="2:10" ht="19.5">
      <c r="B2" s="55" t="s">
        <v>30</v>
      </c>
      <c r="C2" s="55"/>
      <c r="D2" s="55"/>
      <c r="E2" s="55"/>
      <c r="F2" s="55"/>
      <c r="H2" s="56" t="s">
        <v>42</v>
      </c>
      <c r="I2" s="56"/>
      <c r="J2" s="56"/>
    </row>
    <row r="3" spans="2:10" ht="60">
      <c r="B3" s="9" t="s">
        <v>31</v>
      </c>
      <c r="C3" s="10" t="s">
        <v>32</v>
      </c>
      <c r="D3" s="10" t="s">
        <v>33</v>
      </c>
      <c r="E3" s="10" t="s">
        <v>34</v>
      </c>
      <c r="F3" s="10" t="s">
        <v>35</v>
      </c>
      <c r="H3" s="10" t="s">
        <v>43</v>
      </c>
      <c r="I3" s="10" t="s">
        <v>138</v>
      </c>
      <c r="J3" s="10" t="s">
        <v>44</v>
      </c>
    </row>
    <row r="4" spans="2:10" ht="15">
      <c r="B4" s="11">
        <v>44652</v>
      </c>
      <c r="C4" s="40" t="s">
        <v>36</v>
      </c>
      <c r="D4" s="12">
        <v>72</v>
      </c>
      <c r="E4" s="12">
        <v>750</v>
      </c>
      <c r="F4" s="13">
        <f>+D4*E4</f>
        <v>54000</v>
      </c>
      <c r="G4" s="45"/>
      <c r="H4" s="16" t="s">
        <v>36</v>
      </c>
      <c r="I4" s="16"/>
      <c r="J4" s="16"/>
    </row>
    <row r="5" spans="2:10" ht="15">
      <c r="B5" s="11">
        <v>44656</v>
      </c>
      <c r="C5" s="40" t="s">
        <v>37</v>
      </c>
      <c r="D5" s="12">
        <v>8</v>
      </c>
      <c r="E5" s="12">
        <v>30000</v>
      </c>
      <c r="F5" s="13">
        <f t="shared" ref="F5:F23" si="0">+D5*E5</f>
        <v>240000</v>
      </c>
      <c r="G5" s="45"/>
      <c r="H5" s="16" t="s">
        <v>37</v>
      </c>
      <c r="I5" s="16"/>
      <c r="J5" s="16"/>
    </row>
    <row r="6" spans="2:10" ht="15">
      <c r="B6" s="11">
        <v>44659</v>
      </c>
      <c r="C6" s="40" t="s">
        <v>38</v>
      </c>
      <c r="D6" s="12">
        <v>15</v>
      </c>
      <c r="E6" s="12">
        <v>25000</v>
      </c>
      <c r="F6" s="13">
        <f t="shared" si="0"/>
        <v>375000</v>
      </c>
      <c r="G6" s="45"/>
      <c r="H6" s="16" t="s">
        <v>38</v>
      </c>
      <c r="I6" s="16"/>
      <c r="J6" s="16"/>
    </row>
    <row r="7" spans="2:10" ht="15">
      <c r="B7" s="11">
        <v>44661</v>
      </c>
      <c r="C7" s="40" t="s">
        <v>39</v>
      </c>
      <c r="D7" s="12">
        <v>15</v>
      </c>
      <c r="E7" s="12">
        <v>5000</v>
      </c>
      <c r="F7" s="13">
        <f t="shared" si="0"/>
        <v>75000</v>
      </c>
      <c r="G7" s="45"/>
      <c r="H7" s="16" t="s">
        <v>39</v>
      </c>
      <c r="I7" s="16"/>
      <c r="J7" s="16"/>
    </row>
    <row r="8" spans="2:10" ht="15">
      <c r="B8" s="11">
        <v>44686</v>
      </c>
      <c r="C8" s="40" t="s">
        <v>38</v>
      </c>
      <c r="D8" s="12">
        <v>10</v>
      </c>
      <c r="E8" s="12">
        <f>VLOOKUP(C8,$C$4:$E$10,3,0)</f>
        <v>25000</v>
      </c>
      <c r="F8" s="13">
        <f t="shared" si="0"/>
        <v>250000</v>
      </c>
      <c r="G8" s="45"/>
      <c r="H8" s="16" t="s">
        <v>40</v>
      </c>
      <c r="I8" s="16"/>
      <c r="J8" s="16"/>
    </row>
    <row r="9" spans="2:10" ht="16" thickBot="1">
      <c r="B9" s="11">
        <v>44689</v>
      </c>
      <c r="C9" s="40" t="s">
        <v>36</v>
      </c>
      <c r="D9" s="12">
        <v>48</v>
      </c>
      <c r="E9" s="12">
        <f>VLOOKUP(C9,$C$4:$E$10,3,0)</f>
        <v>750</v>
      </c>
      <c r="F9" s="13">
        <f t="shared" si="0"/>
        <v>36000</v>
      </c>
      <c r="G9" s="45"/>
      <c r="H9" s="14" t="s">
        <v>41</v>
      </c>
      <c r="I9" s="44"/>
      <c r="J9" s="44"/>
    </row>
    <row r="10" spans="2:10" ht="15.5" thickTop="1">
      <c r="B10" s="11">
        <v>44696</v>
      </c>
      <c r="C10" s="40" t="s">
        <v>40</v>
      </c>
      <c r="D10" s="12">
        <v>8</v>
      </c>
      <c r="E10" s="12">
        <v>15000</v>
      </c>
      <c r="F10" s="13">
        <f t="shared" si="0"/>
        <v>120000</v>
      </c>
      <c r="G10" s="45"/>
    </row>
    <row r="11" spans="2:10" ht="15">
      <c r="B11" s="11">
        <v>44706</v>
      </c>
      <c r="C11" s="40" t="s">
        <v>37</v>
      </c>
      <c r="D11" s="12">
        <v>15</v>
      </c>
      <c r="E11" s="12">
        <f t="shared" ref="E11:E23" si="1">VLOOKUP(C11,$C$4:$E$10,3,0)</f>
        <v>30000</v>
      </c>
      <c r="F11" s="13">
        <f t="shared" si="0"/>
        <v>450000</v>
      </c>
      <c r="G11" s="45"/>
    </row>
    <row r="12" spans="2:10" ht="15">
      <c r="B12" s="11">
        <v>44751</v>
      </c>
      <c r="C12" s="40" t="s">
        <v>38</v>
      </c>
      <c r="D12" s="12">
        <v>20</v>
      </c>
      <c r="E12" s="12">
        <f t="shared" si="1"/>
        <v>25000</v>
      </c>
      <c r="F12" s="13">
        <f t="shared" si="0"/>
        <v>500000</v>
      </c>
      <c r="G12" s="45"/>
    </row>
    <row r="13" spans="2:10" ht="15">
      <c r="B13" s="11">
        <v>44752</v>
      </c>
      <c r="C13" s="40" t="s">
        <v>36</v>
      </c>
      <c r="D13" s="12">
        <v>12</v>
      </c>
      <c r="E13" s="12">
        <f t="shared" si="1"/>
        <v>750</v>
      </c>
      <c r="F13" s="13">
        <f t="shared" si="0"/>
        <v>9000</v>
      </c>
      <c r="G13" s="45"/>
    </row>
    <row r="14" spans="2:10" ht="15">
      <c r="B14" s="11">
        <v>44753</v>
      </c>
      <c r="C14" s="40" t="s">
        <v>37</v>
      </c>
      <c r="D14" s="12">
        <v>5</v>
      </c>
      <c r="E14" s="12">
        <f t="shared" si="1"/>
        <v>30000</v>
      </c>
      <c r="F14" s="13">
        <f t="shared" si="0"/>
        <v>150000</v>
      </c>
      <c r="G14" s="45"/>
    </row>
    <row r="15" spans="2:10" ht="15">
      <c r="B15" s="11">
        <v>44785</v>
      </c>
      <c r="C15" s="40" t="s">
        <v>38</v>
      </c>
      <c r="D15" s="12">
        <v>1</v>
      </c>
      <c r="E15" s="12">
        <f t="shared" si="1"/>
        <v>25000</v>
      </c>
      <c r="F15" s="13">
        <f t="shared" si="0"/>
        <v>25000</v>
      </c>
      <c r="G15" s="45"/>
    </row>
    <row r="16" spans="2:10" ht="15">
      <c r="B16" s="11">
        <v>44822</v>
      </c>
      <c r="C16" s="40" t="s">
        <v>38</v>
      </c>
      <c r="D16" s="12">
        <v>5</v>
      </c>
      <c r="E16" s="12">
        <f t="shared" si="1"/>
        <v>25000</v>
      </c>
      <c r="F16" s="13">
        <f t="shared" si="0"/>
        <v>125000</v>
      </c>
      <c r="G16" s="45"/>
    </row>
    <row r="17" spans="2:7" ht="15">
      <c r="B17" s="11">
        <v>44848</v>
      </c>
      <c r="C17" s="40" t="s">
        <v>36</v>
      </c>
      <c r="D17" s="12">
        <v>18</v>
      </c>
      <c r="E17" s="12">
        <f t="shared" si="1"/>
        <v>750</v>
      </c>
      <c r="F17" s="13">
        <f t="shared" si="0"/>
        <v>13500</v>
      </c>
      <c r="G17" s="45"/>
    </row>
    <row r="18" spans="2:7" ht="15">
      <c r="B18" s="11">
        <v>44880</v>
      </c>
      <c r="C18" s="40" t="s">
        <v>40</v>
      </c>
      <c r="D18" s="12">
        <v>5</v>
      </c>
      <c r="E18" s="12">
        <f t="shared" si="1"/>
        <v>15000</v>
      </c>
      <c r="F18" s="13">
        <f t="shared" si="0"/>
        <v>75000</v>
      </c>
      <c r="G18" s="45"/>
    </row>
    <row r="19" spans="2:7" ht="15">
      <c r="B19" s="11">
        <v>44921</v>
      </c>
      <c r="C19" s="40" t="s">
        <v>36</v>
      </c>
      <c r="D19" s="12">
        <v>12</v>
      </c>
      <c r="E19" s="12">
        <f t="shared" si="1"/>
        <v>750</v>
      </c>
      <c r="F19" s="13">
        <f t="shared" si="0"/>
        <v>9000</v>
      </c>
      <c r="G19" s="45"/>
    </row>
    <row r="20" spans="2:7" ht="15">
      <c r="B20" s="11">
        <v>44943</v>
      </c>
      <c r="C20" s="40" t="s">
        <v>37</v>
      </c>
      <c r="D20" s="12">
        <v>4</v>
      </c>
      <c r="E20" s="12">
        <f t="shared" si="1"/>
        <v>30000</v>
      </c>
      <c r="F20" s="13">
        <f t="shared" si="0"/>
        <v>120000</v>
      </c>
      <c r="G20" s="45"/>
    </row>
    <row r="21" spans="2:7" ht="15">
      <c r="B21" s="11">
        <v>44975</v>
      </c>
      <c r="C21" s="40" t="s">
        <v>38</v>
      </c>
      <c r="D21" s="12">
        <v>4</v>
      </c>
      <c r="E21" s="12">
        <f t="shared" si="1"/>
        <v>25000</v>
      </c>
      <c r="F21" s="13">
        <f t="shared" si="0"/>
        <v>100000</v>
      </c>
      <c r="G21" s="45"/>
    </row>
    <row r="22" spans="2:7" ht="15">
      <c r="B22" s="11">
        <v>44995</v>
      </c>
      <c r="C22" s="40" t="s">
        <v>36</v>
      </c>
      <c r="D22" s="12">
        <v>18</v>
      </c>
      <c r="E22" s="12">
        <f t="shared" si="1"/>
        <v>750</v>
      </c>
      <c r="F22" s="13">
        <f t="shared" si="0"/>
        <v>13500</v>
      </c>
      <c r="G22" s="45"/>
    </row>
    <row r="23" spans="2:7" ht="15">
      <c r="B23" s="11">
        <v>45000</v>
      </c>
      <c r="C23" s="40" t="s">
        <v>40</v>
      </c>
      <c r="D23" s="12">
        <v>5</v>
      </c>
      <c r="E23" s="12">
        <f t="shared" si="1"/>
        <v>15000</v>
      </c>
      <c r="F23" s="13">
        <f t="shared" si="0"/>
        <v>75000</v>
      </c>
      <c r="G23" s="45"/>
    </row>
    <row r="24" spans="2:7" ht="16" thickBot="1">
      <c r="B24" s="14"/>
      <c r="C24" s="14" t="s">
        <v>41</v>
      </c>
      <c r="D24" s="15">
        <f>SUM(D4:D23)</f>
        <v>300</v>
      </c>
      <c r="E24" s="15"/>
      <c r="F24" s="15">
        <f>SUM(F4:F23)</f>
        <v>2815000</v>
      </c>
    </row>
    <row r="25" spans="2:7" ht="15" thickTop="1"/>
  </sheetData>
  <mergeCells count="2">
    <mergeCell ref="B2:F2"/>
    <mergeCell ref="H2:J2"/>
  </mergeCells>
  <conditionalFormatting sqref="C8:C10">
    <cfRule type="duplicateValues" dxfId="5" priority="6"/>
  </conditionalFormatting>
  <conditionalFormatting sqref="C16:C18">
    <cfRule type="duplicateValues" dxfId="4" priority="5"/>
  </conditionalFormatting>
  <conditionalFormatting sqref="C22:C23">
    <cfRule type="duplicateValues" dxfId="3" priority="4"/>
  </conditionalFormatting>
  <conditionalFormatting sqref="H8:H9">
    <cfRule type="duplicateValues" dxfId="2" priority="3"/>
  </conditionalFormatting>
  <conditionalFormatting sqref="I9">
    <cfRule type="duplicateValues" dxfId="1" priority="1"/>
  </conditionalFormatting>
  <conditionalFormatting sqref="J9">
    <cfRule type="duplicateValues" dxfId="0" priority="2"/>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J26"/>
  <sheetViews>
    <sheetView topLeftCell="B3" zoomScale="111" zoomScaleNormal="130" workbookViewId="0">
      <selection activeCell="I15" sqref="I15"/>
    </sheetView>
  </sheetViews>
  <sheetFormatPr defaultRowHeight="14.5"/>
  <cols>
    <col min="2" max="2" width="16.7265625" customWidth="1"/>
    <col min="3" max="3" width="18.26953125" customWidth="1"/>
    <col min="4" max="4" width="15.26953125" customWidth="1"/>
    <col min="5" max="5" width="16.26953125" customWidth="1"/>
    <col min="6" max="6" width="17.08984375" customWidth="1"/>
    <col min="7" max="7" width="18.26953125" customWidth="1"/>
    <col min="8" max="8" width="16.7265625" customWidth="1"/>
    <col min="9" max="9" width="41.6328125" bestFit="1" customWidth="1"/>
  </cols>
  <sheetData>
    <row r="2" spans="2:10">
      <c r="E2" s="7"/>
    </row>
    <row r="4" spans="2:10" ht="15.5">
      <c r="B4" s="1" t="s">
        <v>0</v>
      </c>
      <c r="C4" s="1" t="s">
        <v>1</v>
      </c>
      <c r="D4" s="1" t="s">
        <v>2</v>
      </c>
      <c r="E4" s="1" t="s">
        <v>3</v>
      </c>
      <c r="G4" s="48" t="s">
        <v>9</v>
      </c>
      <c r="H4" s="49"/>
    </row>
    <row r="5" spans="2:10" ht="15.5">
      <c r="B5" s="2" t="s">
        <v>4</v>
      </c>
      <c r="C5" s="2" t="s">
        <v>5</v>
      </c>
      <c r="D5" s="2">
        <v>200</v>
      </c>
      <c r="E5" s="3">
        <v>5000</v>
      </c>
      <c r="G5" s="4" t="s">
        <v>0</v>
      </c>
      <c r="H5" s="5" t="s">
        <v>4</v>
      </c>
      <c r="J5" s="7"/>
    </row>
    <row r="6" spans="2:10" ht="15.5">
      <c r="B6" s="2" t="s">
        <v>6</v>
      </c>
      <c r="C6" s="2" t="s">
        <v>7</v>
      </c>
      <c r="D6" s="2">
        <v>650</v>
      </c>
      <c r="E6" s="3">
        <v>6500</v>
      </c>
      <c r="G6" s="4" t="s">
        <v>1</v>
      </c>
      <c r="H6" s="5" t="s">
        <v>7</v>
      </c>
    </row>
    <row r="7" spans="2:10" ht="15.5">
      <c r="B7" s="2" t="s">
        <v>4</v>
      </c>
      <c r="C7" s="2" t="s">
        <v>8</v>
      </c>
      <c r="D7" s="2">
        <v>320</v>
      </c>
      <c r="E7" s="3">
        <v>16000</v>
      </c>
      <c r="G7" s="1" t="s">
        <v>3</v>
      </c>
      <c r="H7" s="41"/>
    </row>
    <row r="8" spans="2:10" ht="15.5">
      <c r="B8" s="2" t="s">
        <v>4</v>
      </c>
      <c r="C8" s="2" t="s">
        <v>7</v>
      </c>
      <c r="D8" s="2">
        <v>785</v>
      </c>
      <c r="E8" s="3">
        <v>7850</v>
      </c>
      <c r="G8" s="6"/>
      <c r="H8" s="6"/>
    </row>
    <row r="9" spans="2:10" ht="15.5">
      <c r="B9" s="2" t="s">
        <v>4</v>
      </c>
      <c r="C9" s="2" t="s">
        <v>7</v>
      </c>
      <c r="D9" s="2">
        <v>350</v>
      </c>
      <c r="E9" s="3">
        <v>3050</v>
      </c>
      <c r="G9" s="48" t="s">
        <v>10</v>
      </c>
      <c r="H9" s="49"/>
    </row>
    <row r="10" spans="2:10" ht="15.5">
      <c r="B10" s="2" t="s">
        <v>6</v>
      </c>
      <c r="C10" s="2" t="s">
        <v>5</v>
      </c>
      <c r="D10" s="2">
        <v>440</v>
      </c>
      <c r="E10" s="3">
        <v>9500</v>
      </c>
      <c r="G10" s="4" t="s">
        <v>11</v>
      </c>
      <c r="H10" s="42" t="s">
        <v>5</v>
      </c>
    </row>
    <row r="11" spans="2:10" ht="15.5">
      <c r="B11" s="2" t="s">
        <v>4</v>
      </c>
      <c r="C11" s="2" t="s">
        <v>5</v>
      </c>
      <c r="D11" s="2">
        <v>250</v>
      </c>
      <c r="E11" s="3">
        <v>5500</v>
      </c>
      <c r="G11" s="4" t="s">
        <v>12</v>
      </c>
      <c r="H11" s="42" t="s">
        <v>7</v>
      </c>
    </row>
    <row r="12" spans="2:10" ht="15.5">
      <c r="B12" s="2" t="s">
        <v>6</v>
      </c>
      <c r="C12" s="2" t="s">
        <v>5</v>
      </c>
      <c r="D12" s="2">
        <v>340</v>
      </c>
      <c r="E12" s="3">
        <v>8500</v>
      </c>
      <c r="G12" s="1" t="s">
        <v>3</v>
      </c>
      <c r="H12" s="41"/>
    </row>
    <row r="13" spans="2:10" ht="15.5">
      <c r="B13" s="2" t="s">
        <v>6</v>
      </c>
      <c r="C13" s="2" t="s">
        <v>5</v>
      </c>
      <c r="D13" s="2">
        <v>230</v>
      </c>
      <c r="E13" s="3">
        <v>5750</v>
      </c>
      <c r="G13" s="6"/>
      <c r="H13" s="6"/>
    </row>
    <row r="14" spans="2:10" ht="15.5">
      <c r="B14" s="2" t="s">
        <v>4</v>
      </c>
      <c r="C14" s="2" t="s">
        <v>8</v>
      </c>
      <c r="D14" s="2">
        <v>310</v>
      </c>
      <c r="E14" s="3">
        <v>15500</v>
      </c>
      <c r="G14" s="48" t="s">
        <v>13</v>
      </c>
      <c r="H14" s="49"/>
    </row>
    <row r="15" spans="2:10" ht="14.5" customHeight="1">
      <c r="B15" s="2" t="s">
        <v>4</v>
      </c>
      <c r="C15" s="2" t="s">
        <v>7</v>
      </c>
      <c r="D15" s="2">
        <v>405</v>
      </c>
      <c r="E15" s="3">
        <v>4050</v>
      </c>
      <c r="G15" s="50" t="s">
        <v>14</v>
      </c>
      <c r="H15" s="5" t="s">
        <v>15</v>
      </c>
    </row>
    <row r="16" spans="2:10" ht="14.5" customHeight="1">
      <c r="B16" s="2" t="s">
        <v>4</v>
      </c>
      <c r="C16" s="2" t="s">
        <v>8</v>
      </c>
      <c r="D16" s="2">
        <v>600</v>
      </c>
      <c r="E16" s="3">
        <v>10250</v>
      </c>
      <c r="G16" s="51"/>
      <c r="H16" s="5" t="s">
        <v>16</v>
      </c>
    </row>
    <row r="17" spans="2:10" ht="15.5">
      <c r="B17" s="2" t="s">
        <v>6</v>
      </c>
      <c r="C17" s="2" t="s">
        <v>7</v>
      </c>
      <c r="D17" s="2">
        <v>555</v>
      </c>
      <c r="E17" s="3">
        <v>5550</v>
      </c>
      <c r="G17" s="1" t="s">
        <v>3</v>
      </c>
      <c r="H17" s="41"/>
    </row>
    <row r="19" spans="2:10">
      <c r="C19" s="7"/>
      <c r="D19" s="7"/>
      <c r="E19" s="7"/>
    </row>
    <row r="20" spans="2:10" ht="17.5" customHeight="1">
      <c r="B20" s="47" t="s">
        <v>58</v>
      </c>
      <c r="C20" s="47"/>
      <c r="D20" s="47"/>
      <c r="E20" s="47"/>
      <c r="F20" s="47"/>
      <c r="G20" s="47"/>
      <c r="H20" s="47"/>
      <c r="I20" s="47"/>
      <c r="J20" s="47"/>
    </row>
    <row r="21" spans="2:10">
      <c r="B21" s="47"/>
      <c r="C21" s="47"/>
      <c r="D21" s="47"/>
      <c r="E21" s="47"/>
      <c r="F21" s="47"/>
      <c r="G21" s="47"/>
      <c r="H21" s="47"/>
      <c r="I21" s="47"/>
      <c r="J21" s="47"/>
    </row>
    <row r="22" spans="2:10">
      <c r="B22" s="47"/>
      <c r="C22" s="47"/>
      <c r="D22" s="47"/>
      <c r="E22" s="47"/>
      <c r="F22" s="47"/>
      <c r="G22" s="47"/>
      <c r="H22" s="47"/>
      <c r="I22" s="47"/>
      <c r="J22" s="47"/>
    </row>
    <row r="24" spans="2:10">
      <c r="B24" s="46" t="s">
        <v>59</v>
      </c>
      <c r="C24" s="46"/>
      <c r="D24" s="46"/>
      <c r="E24" s="46"/>
      <c r="F24" s="46"/>
      <c r="G24" s="46"/>
      <c r="H24" s="46"/>
    </row>
    <row r="25" spans="2:10">
      <c r="B25" s="46" t="s">
        <v>60</v>
      </c>
      <c r="C25" s="46"/>
      <c r="D25" s="46"/>
      <c r="E25" s="46"/>
      <c r="F25" s="46"/>
      <c r="G25" s="46"/>
      <c r="H25" s="46"/>
    </row>
    <row r="26" spans="2:10">
      <c r="B26" s="46" t="s">
        <v>61</v>
      </c>
      <c r="C26" s="46"/>
      <c r="D26" s="46"/>
      <c r="E26" s="46"/>
      <c r="F26" s="46"/>
      <c r="G26" s="46"/>
      <c r="H26" s="46"/>
    </row>
  </sheetData>
  <mergeCells count="8">
    <mergeCell ref="B24:H24"/>
    <mergeCell ref="B25:H25"/>
    <mergeCell ref="B26:H26"/>
    <mergeCell ref="B20:J22"/>
    <mergeCell ref="G4:H4"/>
    <mergeCell ref="G9:H9"/>
    <mergeCell ref="G14:H14"/>
    <mergeCell ref="G15:G1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E9C85-21EE-41D7-9FF8-08FA3F69928E}">
  <dimension ref="A2:E14"/>
  <sheetViews>
    <sheetView workbookViewId="0">
      <selection activeCell="B11" sqref="B11"/>
    </sheetView>
  </sheetViews>
  <sheetFormatPr defaultRowHeight="14.5"/>
  <cols>
    <col min="1" max="1" width="16.453125" customWidth="1"/>
    <col min="2" max="2" width="51.54296875" customWidth="1"/>
    <col min="3" max="3" width="13.26953125" customWidth="1"/>
    <col min="5" max="5" width="14.6328125" customWidth="1"/>
    <col min="6" max="6" width="39.453125" bestFit="1" customWidth="1"/>
    <col min="7" max="7" width="7.90625" bestFit="1" customWidth="1"/>
  </cols>
  <sheetData>
    <row r="2" spans="1:5">
      <c r="E2" s="43" t="s">
        <v>139</v>
      </c>
    </row>
    <row r="3" spans="1:5" ht="28" customHeight="1">
      <c r="A3" s="25" t="s">
        <v>45</v>
      </c>
      <c r="B3" s="25" t="s">
        <v>46</v>
      </c>
      <c r="C3" s="25" t="s">
        <v>47</v>
      </c>
      <c r="E3" s="43">
        <v>1</v>
      </c>
    </row>
    <row r="4" spans="1:5">
      <c r="A4" s="25" t="s">
        <v>48</v>
      </c>
      <c r="B4" s="5" t="s">
        <v>49</v>
      </c>
      <c r="C4" s="42">
        <f>COUNT(E3:E14)</f>
        <v>7</v>
      </c>
      <c r="E4" s="43"/>
    </row>
    <row r="5" spans="1:5">
      <c r="A5" s="25" t="s">
        <v>50</v>
      </c>
      <c r="B5" s="5" t="s">
        <v>51</v>
      </c>
      <c r="C5" s="42">
        <f>COUNTA(E3:E14)</f>
        <v>10</v>
      </c>
      <c r="E5" s="43">
        <v>3</v>
      </c>
    </row>
    <row r="6" spans="1:5" ht="28" customHeight="1">
      <c r="A6" s="25" t="s">
        <v>52</v>
      </c>
      <c r="B6" s="5" t="s">
        <v>53</v>
      </c>
      <c r="C6" s="42">
        <f>COUNTBLANK(E3:E14)</f>
        <v>2</v>
      </c>
      <c r="E6" s="43">
        <v>54</v>
      </c>
    </row>
    <row r="7" spans="1:5">
      <c r="A7" s="25" t="s">
        <v>54</v>
      </c>
      <c r="B7" s="5" t="s">
        <v>55</v>
      </c>
      <c r="C7" s="42">
        <f>COUNTIF(E3:E14,"&gt;10")</f>
        <v>4</v>
      </c>
      <c r="E7" s="43">
        <v>10</v>
      </c>
    </row>
    <row r="8" spans="1:5">
      <c r="A8" s="25" t="s">
        <v>56</v>
      </c>
      <c r="B8" s="5" t="s">
        <v>57</v>
      </c>
      <c r="C8" s="42"/>
      <c r="E8" s="43" t="s">
        <v>140</v>
      </c>
    </row>
    <row r="9" spans="1:5">
      <c r="E9" s="43"/>
    </row>
    <row r="10" spans="1:5">
      <c r="E10" s="43">
        <v>394</v>
      </c>
    </row>
    <row r="11" spans="1:5">
      <c r="E11" s="43" t="e">
        <f>sum</f>
        <v>#NAME?</v>
      </c>
    </row>
    <row r="12" spans="1:5">
      <c r="E12" s="43">
        <v>33</v>
      </c>
    </row>
    <row r="13" spans="1:5">
      <c r="E13" s="43">
        <v>55</v>
      </c>
    </row>
    <row r="14" spans="1:5">
      <c r="E14" s="43" t="s">
        <v>141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A74AB-39B7-4255-9ACC-5AABA87660EE}">
  <dimension ref="A1:H52"/>
  <sheetViews>
    <sheetView topLeftCell="A8" workbookViewId="0">
      <selection activeCell="J39" sqref="J39"/>
    </sheetView>
  </sheetViews>
  <sheetFormatPr defaultRowHeight="14.5"/>
  <cols>
    <col min="2" max="2" width="10.08984375" bestFit="1" customWidth="1"/>
    <col min="3" max="3" width="13.81640625" bestFit="1" customWidth="1"/>
    <col min="4" max="4" width="15.26953125" bestFit="1" customWidth="1"/>
    <col min="7" max="7" width="11" bestFit="1" customWidth="1"/>
  </cols>
  <sheetData>
    <row r="1" spans="1:7" ht="29">
      <c r="A1" s="26" t="s">
        <v>62</v>
      </c>
      <c r="B1" s="26" t="s">
        <v>63</v>
      </c>
      <c r="C1" s="26" t="s">
        <v>64</v>
      </c>
      <c r="D1" s="26" t="s">
        <v>65</v>
      </c>
      <c r="E1" s="26" t="s">
        <v>66</v>
      </c>
      <c r="F1" s="26" t="s">
        <v>67</v>
      </c>
      <c r="G1" s="26" t="s">
        <v>68</v>
      </c>
    </row>
    <row r="2" spans="1:7">
      <c r="A2" s="2">
        <v>100001</v>
      </c>
      <c r="B2" s="27">
        <v>41306</v>
      </c>
      <c r="C2" s="2" t="s">
        <v>69</v>
      </c>
      <c r="D2" s="2" t="s">
        <v>70</v>
      </c>
      <c r="E2" s="2">
        <v>25</v>
      </c>
      <c r="F2" s="2" t="s">
        <v>71</v>
      </c>
      <c r="G2" s="2" t="s">
        <v>72</v>
      </c>
    </row>
    <row r="3" spans="1:7">
      <c r="A3" s="2">
        <v>100002</v>
      </c>
      <c r="B3" s="27">
        <v>41306</v>
      </c>
      <c r="C3" s="2" t="s">
        <v>73</v>
      </c>
      <c r="D3" s="2" t="s">
        <v>74</v>
      </c>
      <c r="E3" s="2">
        <v>30</v>
      </c>
      <c r="F3" s="2" t="s">
        <v>75</v>
      </c>
      <c r="G3" s="2" t="s">
        <v>76</v>
      </c>
    </row>
    <row r="4" spans="1:7">
      <c r="A4" s="2">
        <v>100003</v>
      </c>
      <c r="B4" s="27">
        <v>41307</v>
      </c>
      <c r="C4" s="2" t="s">
        <v>77</v>
      </c>
      <c r="D4" s="2" t="s">
        <v>74</v>
      </c>
      <c r="E4" s="2">
        <v>15</v>
      </c>
      <c r="F4" s="2" t="s">
        <v>75</v>
      </c>
      <c r="G4" s="2" t="s">
        <v>78</v>
      </c>
    </row>
    <row r="5" spans="1:7">
      <c r="A5" s="2">
        <v>100004</v>
      </c>
      <c r="B5" s="27">
        <v>41308</v>
      </c>
      <c r="C5" s="2" t="s">
        <v>73</v>
      </c>
      <c r="D5" s="2" t="s">
        <v>70</v>
      </c>
      <c r="E5" s="2">
        <v>32</v>
      </c>
      <c r="F5" s="2" t="s">
        <v>71</v>
      </c>
      <c r="G5" s="2" t="s">
        <v>76</v>
      </c>
    </row>
    <row r="6" spans="1:7">
      <c r="A6" s="2">
        <v>100005</v>
      </c>
      <c r="B6" s="27">
        <v>41308</v>
      </c>
      <c r="C6" s="2" t="s">
        <v>79</v>
      </c>
      <c r="D6" s="2" t="s">
        <v>80</v>
      </c>
      <c r="E6" s="2">
        <v>25</v>
      </c>
      <c r="F6" s="2" t="s">
        <v>75</v>
      </c>
      <c r="G6" s="2" t="s">
        <v>72</v>
      </c>
    </row>
    <row r="7" spans="1:7">
      <c r="A7" s="2">
        <v>100006</v>
      </c>
      <c r="B7" s="27">
        <v>41308</v>
      </c>
      <c r="C7" s="2" t="s">
        <v>77</v>
      </c>
      <c r="D7" s="2" t="s">
        <v>74</v>
      </c>
      <c r="E7" s="2">
        <v>18</v>
      </c>
      <c r="F7" s="2" t="s">
        <v>81</v>
      </c>
      <c r="G7" s="2" t="s">
        <v>82</v>
      </c>
    </row>
    <row r="8" spans="1:7">
      <c r="A8" s="2">
        <v>100007</v>
      </c>
      <c r="B8" s="27">
        <v>41308</v>
      </c>
      <c r="C8" s="2" t="s">
        <v>69</v>
      </c>
      <c r="D8" s="2" t="s">
        <v>80</v>
      </c>
      <c r="E8" s="2">
        <v>15</v>
      </c>
      <c r="F8" s="2" t="s">
        <v>83</v>
      </c>
      <c r="G8" s="2" t="s">
        <v>78</v>
      </c>
    </row>
    <row r="9" spans="1:7">
      <c r="A9" s="2">
        <v>100008</v>
      </c>
      <c r="B9" s="27">
        <v>41309</v>
      </c>
      <c r="C9" s="2" t="s">
        <v>77</v>
      </c>
      <c r="D9" s="2" t="s">
        <v>80</v>
      </c>
      <c r="E9" s="2">
        <v>25</v>
      </c>
      <c r="F9" s="2" t="s">
        <v>75</v>
      </c>
      <c r="G9" s="2" t="s">
        <v>82</v>
      </c>
    </row>
    <row r="10" spans="1:7">
      <c r="A10" s="2">
        <v>100009</v>
      </c>
      <c r="B10" s="27">
        <v>41309</v>
      </c>
      <c r="C10" s="2" t="s">
        <v>73</v>
      </c>
      <c r="D10" s="2" t="s">
        <v>70</v>
      </c>
      <c r="E10" s="2">
        <v>30</v>
      </c>
      <c r="F10" s="2" t="s">
        <v>81</v>
      </c>
      <c r="G10" s="2" t="s">
        <v>84</v>
      </c>
    </row>
    <row r="11" spans="1:7">
      <c r="A11" s="2">
        <v>100010</v>
      </c>
      <c r="B11" s="27">
        <v>41309</v>
      </c>
      <c r="C11" s="2" t="s">
        <v>79</v>
      </c>
      <c r="D11" s="2" t="s">
        <v>80</v>
      </c>
      <c r="E11" s="2">
        <v>15</v>
      </c>
      <c r="F11" s="2" t="s">
        <v>83</v>
      </c>
      <c r="G11" s="2" t="s">
        <v>76</v>
      </c>
    </row>
    <row r="12" spans="1:7">
      <c r="A12" s="2">
        <v>100011</v>
      </c>
      <c r="B12" s="27">
        <v>41309</v>
      </c>
      <c r="C12" s="2" t="s">
        <v>85</v>
      </c>
      <c r="D12" s="2" t="s">
        <v>86</v>
      </c>
      <c r="E12" s="2">
        <v>25</v>
      </c>
      <c r="F12" s="2" t="s">
        <v>75</v>
      </c>
      <c r="G12" s="2" t="s">
        <v>78</v>
      </c>
    </row>
    <row r="13" spans="1:7">
      <c r="A13" s="2">
        <v>100012</v>
      </c>
      <c r="B13" s="27">
        <v>41309</v>
      </c>
      <c r="C13" s="2" t="s">
        <v>69</v>
      </c>
      <c r="D13" s="2" t="s">
        <v>74</v>
      </c>
      <c r="E13" s="2">
        <v>14</v>
      </c>
      <c r="F13" s="2" t="s">
        <v>71</v>
      </c>
      <c r="G13" s="2" t="s">
        <v>76</v>
      </c>
    </row>
    <row r="14" spans="1:7">
      <c r="A14" s="2">
        <v>100013</v>
      </c>
      <c r="B14" s="27">
        <v>41310</v>
      </c>
      <c r="C14" s="2" t="s">
        <v>69</v>
      </c>
      <c r="D14" s="2" t="s">
        <v>74</v>
      </c>
      <c r="E14" s="2">
        <v>25</v>
      </c>
      <c r="F14" s="28" t="s">
        <v>87</v>
      </c>
      <c r="G14" s="2" t="s">
        <v>82</v>
      </c>
    </row>
    <row r="15" spans="1:7">
      <c r="A15" s="2">
        <v>100014</v>
      </c>
      <c r="B15" s="27">
        <v>41310</v>
      </c>
      <c r="C15" s="2" t="s">
        <v>77</v>
      </c>
      <c r="D15" s="2" t="s">
        <v>70</v>
      </c>
      <c r="E15" s="2">
        <v>30</v>
      </c>
      <c r="F15" s="2" t="s">
        <v>71</v>
      </c>
      <c r="G15" s="2" t="s">
        <v>78</v>
      </c>
    </row>
    <row r="16" spans="1:7">
      <c r="A16" s="2">
        <v>100015</v>
      </c>
      <c r="B16" s="27">
        <v>41310</v>
      </c>
      <c r="C16" s="2" t="s">
        <v>79</v>
      </c>
      <c r="D16" s="2" t="s">
        <v>86</v>
      </c>
      <c r="E16" s="2">
        <v>15</v>
      </c>
      <c r="F16" s="2" t="s">
        <v>75</v>
      </c>
      <c r="G16" s="2" t="s">
        <v>72</v>
      </c>
    </row>
    <row r="17" spans="1:8">
      <c r="A17" s="2">
        <v>100016</v>
      </c>
      <c r="B17" s="27">
        <v>41310</v>
      </c>
      <c r="C17" s="2" t="s">
        <v>73</v>
      </c>
      <c r="D17" s="2" t="s">
        <v>70</v>
      </c>
      <c r="E17" s="2">
        <v>15</v>
      </c>
      <c r="F17" s="2" t="s">
        <v>81</v>
      </c>
      <c r="G17" s="2" t="s">
        <v>84</v>
      </c>
    </row>
    <row r="18" spans="1:8">
      <c r="A18" s="2">
        <v>100017</v>
      </c>
      <c r="B18" s="27">
        <v>41311</v>
      </c>
      <c r="C18" s="2" t="s">
        <v>69</v>
      </c>
      <c r="D18" s="2" t="s">
        <v>86</v>
      </c>
      <c r="E18" s="2">
        <v>25</v>
      </c>
      <c r="F18" s="2" t="s">
        <v>81</v>
      </c>
      <c r="G18" s="2" t="s">
        <v>76</v>
      </c>
    </row>
    <row r="19" spans="1:8">
      <c r="A19" s="2">
        <v>100018</v>
      </c>
      <c r="B19" s="27">
        <v>41312</v>
      </c>
      <c r="C19" s="2" t="s">
        <v>69</v>
      </c>
      <c r="D19" s="2" t="s">
        <v>70</v>
      </c>
      <c r="E19" s="2">
        <v>30</v>
      </c>
      <c r="F19" s="2" t="s">
        <v>71</v>
      </c>
      <c r="G19" s="2" t="s">
        <v>78</v>
      </c>
    </row>
    <row r="20" spans="1:8">
      <c r="A20" s="2">
        <v>100019</v>
      </c>
      <c r="B20" s="27">
        <v>41313</v>
      </c>
      <c r="C20" s="2" t="s">
        <v>79</v>
      </c>
      <c r="D20" s="2" t="s">
        <v>74</v>
      </c>
      <c r="E20" s="2">
        <v>13</v>
      </c>
      <c r="F20" s="2" t="s">
        <v>75</v>
      </c>
      <c r="G20" s="2" t="s">
        <v>82</v>
      </c>
    </row>
    <row r="21" spans="1:8">
      <c r="A21" s="2">
        <v>100020</v>
      </c>
      <c r="B21" s="27">
        <v>41313</v>
      </c>
      <c r="C21" s="2" t="s">
        <v>73</v>
      </c>
      <c r="D21" s="2" t="s">
        <v>80</v>
      </c>
      <c r="E21" s="2">
        <v>25</v>
      </c>
      <c r="F21" s="2" t="s">
        <v>83</v>
      </c>
      <c r="G21" s="2" t="s">
        <v>78</v>
      </c>
    </row>
    <row r="22" spans="1:8">
      <c r="A22" s="2">
        <v>100021</v>
      </c>
      <c r="B22" s="27">
        <v>41313</v>
      </c>
      <c r="C22" s="2" t="s">
        <v>77</v>
      </c>
      <c r="D22" s="2" t="s">
        <v>86</v>
      </c>
      <c r="E22" s="2">
        <v>30</v>
      </c>
      <c r="F22" s="2" t="s">
        <v>81</v>
      </c>
      <c r="G22" s="2" t="s">
        <v>84</v>
      </c>
    </row>
    <row r="23" spans="1:8">
      <c r="A23" s="2">
        <v>100022</v>
      </c>
      <c r="B23" s="27">
        <v>41313</v>
      </c>
      <c r="C23" s="2" t="s">
        <v>73</v>
      </c>
      <c r="D23" s="2" t="s">
        <v>74</v>
      </c>
      <c r="E23" s="2">
        <v>15</v>
      </c>
      <c r="F23" s="2" t="s">
        <v>87</v>
      </c>
      <c r="G23" s="2" t="s">
        <v>76</v>
      </c>
    </row>
    <row r="24" spans="1:8">
      <c r="A24" s="2">
        <v>100023</v>
      </c>
      <c r="B24" s="27">
        <v>41313</v>
      </c>
      <c r="C24" s="2" t="s">
        <v>69</v>
      </c>
      <c r="D24" s="2" t="s">
        <v>86</v>
      </c>
      <c r="E24" s="2">
        <v>25</v>
      </c>
      <c r="F24" s="2" t="s">
        <v>71</v>
      </c>
      <c r="G24" s="2" t="s">
        <v>72</v>
      </c>
    </row>
    <row r="25" spans="1:8">
      <c r="A25" s="2">
        <v>100024</v>
      </c>
      <c r="B25" s="27">
        <v>41314</v>
      </c>
      <c r="C25" s="2" t="s">
        <v>79</v>
      </c>
      <c r="D25" s="2" t="s">
        <v>74</v>
      </c>
      <c r="E25" s="2">
        <v>34</v>
      </c>
      <c r="F25" s="2" t="s">
        <v>75</v>
      </c>
      <c r="G25" s="2" t="s">
        <v>82</v>
      </c>
    </row>
    <row r="27" spans="1:8">
      <c r="H27" t="s">
        <v>88</v>
      </c>
    </row>
    <row r="28" spans="1:8">
      <c r="F28" s="29" t="s">
        <v>89</v>
      </c>
    </row>
    <row r="29" spans="1:8">
      <c r="E29" s="30" t="s">
        <v>90</v>
      </c>
    </row>
    <row r="30" spans="1:8">
      <c r="E30" s="30" t="s">
        <v>91</v>
      </c>
    </row>
    <row r="31" spans="1:8">
      <c r="E31" s="30" t="s">
        <v>92</v>
      </c>
    </row>
    <row r="32" spans="1:8">
      <c r="E32" s="30" t="s">
        <v>93</v>
      </c>
    </row>
    <row r="33" spans="5:6">
      <c r="E33" s="30" t="s">
        <v>94</v>
      </c>
    </row>
    <row r="35" spans="5:6">
      <c r="F35" s="29" t="s">
        <v>95</v>
      </c>
    </row>
    <row r="36" spans="5:6">
      <c r="E36" s="30" t="s">
        <v>96</v>
      </c>
    </row>
    <row r="37" spans="5:6">
      <c r="E37" s="30" t="s">
        <v>97</v>
      </c>
    </row>
    <row r="38" spans="5:6">
      <c r="E38" s="30" t="s">
        <v>98</v>
      </c>
    </row>
    <row r="39" spans="5:6">
      <c r="E39" s="30" t="s">
        <v>99</v>
      </c>
    </row>
    <row r="41" spans="5:6">
      <c r="E41" s="30"/>
      <c r="F41" s="29" t="s">
        <v>100</v>
      </c>
    </row>
    <row r="42" spans="5:6">
      <c r="E42" s="30" t="s">
        <v>101</v>
      </c>
    </row>
    <row r="43" spans="5:6">
      <c r="E43" s="30" t="s">
        <v>102</v>
      </c>
    </row>
    <row r="44" spans="5:6">
      <c r="E44" s="30" t="s">
        <v>103</v>
      </c>
    </row>
    <row r="45" spans="5:6">
      <c r="E45" s="30" t="s">
        <v>104</v>
      </c>
    </row>
    <row r="46" spans="5:6">
      <c r="F46" s="29" t="s">
        <v>105</v>
      </c>
    </row>
    <row r="47" spans="5:6">
      <c r="E47" s="30" t="s">
        <v>106</v>
      </c>
    </row>
    <row r="48" spans="5:6">
      <c r="E48" s="30" t="s">
        <v>107</v>
      </c>
    </row>
    <row r="49" spans="5:5">
      <c r="E49" s="30" t="s">
        <v>108</v>
      </c>
    </row>
    <row r="52" spans="5:5">
      <c r="E52" s="30" t="s">
        <v>109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ADCC9-0345-4342-8D7F-B6DE4F9687C3}">
  <dimension ref="A1:F241"/>
  <sheetViews>
    <sheetView tabSelected="1" topLeftCell="A2" zoomScale="101" workbookViewId="0">
      <selection activeCell="I11" sqref="I11"/>
    </sheetView>
  </sheetViews>
  <sheetFormatPr defaultRowHeight="14.5"/>
  <cols>
    <col min="1" max="2" width="19.36328125" bestFit="1" customWidth="1"/>
    <col min="3" max="3" width="14.08984375" customWidth="1"/>
    <col min="4" max="4" width="9.6328125" bestFit="1" customWidth="1"/>
    <col min="5" max="5" width="7.81640625" bestFit="1" customWidth="1"/>
    <col min="6" max="6" width="12.6328125" customWidth="1"/>
  </cols>
  <sheetData>
    <row r="1" spans="1:6" ht="72.5">
      <c r="A1" s="31" t="s">
        <v>110</v>
      </c>
      <c r="B1" s="31" t="s">
        <v>111</v>
      </c>
      <c r="C1" s="31" t="s">
        <v>112</v>
      </c>
      <c r="D1" s="32" t="s">
        <v>113</v>
      </c>
      <c r="E1" s="32" t="s">
        <v>114</v>
      </c>
      <c r="F1" s="32" t="s">
        <v>115</v>
      </c>
    </row>
    <row r="2" spans="1:6">
      <c r="A2" s="2" t="s">
        <v>116</v>
      </c>
      <c r="B2" s="2"/>
      <c r="C2" s="2"/>
      <c r="D2" s="2"/>
      <c r="E2" s="2"/>
      <c r="F2" s="2"/>
    </row>
    <row r="3" spans="1:6">
      <c r="A3" s="33" t="s">
        <v>117</v>
      </c>
      <c r="B3" s="2"/>
      <c r="C3" s="2"/>
      <c r="D3" s="2"/>
      <c r="E3" s="2"/>
      <c r="F3" s="2"/>
    </row>
    <row r="4" spans="1:6">
      <c r="A4" s="34" t="s">
        <v>118</v>
      </c>
      <c r="B4" s="2"/>
      <c r="C4" s="2"/>
      <c r="D4" s="2"/>
      <c r="E4" s="2"/>
      <c r="F4" s="2"/>
    </row>
    <row r="5" spans="1:6">
      <c r="A5" s="2" t="s">
        <v>119</v>
      </c>
      <c r="B5" s="2"/>
      <c r="C5" s="2"/>
      <c r="D5" s="2"/>
      <c r="E5" s="2"/>
      <c r="F5" s="2"/>
    </row>
    <row r="8" spans="1:6" ht="87">
      <c r="A8" s="31" t="s">
        <v>120</v>
      </c>
      <c r="B8" s="31" t="s">
        <v>111</v>
      </c>
      <c r="C8" s="31" t="s">
        <v>112</v>
      </c>
      <c r="D8" s="31" t="s">
        <v>121</v>
      </c>
      <c r="E8" s="31" t="s">
        <v>122</v>
      </c>
      <c r="F8" s="31" t="s">
        <v>123</v>
      </c>
    </row>
    <row r="9" spans="1:6">
      <c r="A9" s="33" t="s">
        <v>124</v>
      </c>
      <c r="B9" s="2"/>
      <c r="C9" s="2"/>
      <c r="D9" s="2"/>
      <c r="E9" s="2"/>
      <c r="F9" s="2"/>
    </row>
    <row r="10" spans="1:6">
      <c r="A10" s="33" t="s">
        <v>21</v>
      </c>
      <c r="B10" s="2"/>
      <c r="C10" s="2"/>
      <c r="D10" s="2"/>
      <c r="E10" s="2"/>
      <c r="F10" s="2"/>
    </row>
    <row r="11" spans="1:6">
      <c r="A11" s="33" t="s">
        <v>125</v>
      </c>
      <c r="B11" s="2"/>
      <c r="C11" s="2"/>
      <c r="D11" s="2"/>
      <c r="E11" s="2"/>
      <c r="F11" s="2"/>
    </row>
    <row r="12" spans="1:6">
      <c r="B12" s="35"/>
    </row>
    <row r="13" spans="1:6">
      <c r="B13" s="35"/>
    </row>
    <row r="14" spans="1:6">
      <c r="A14" s="57" t="s">
        <v>126</v>
      </c>
      <c r="B14" s="57"/>
      <c r="C14" s="57"/>
      <c r="D14" s="57"/>
      <c r="E14" s="57"/>
    </row>
    <row r="15" spans="1:6">
      <c r="A15" s="26" t="s">
        <v>63</v>
      </c>
      <c r="B15" s="26" t="s">
        <v>110</v>
      </c>
      <c r="C15" s="26" t="s">
        <v>120</v>
      </c>
      <c r="D15" s="26" t="s">
        <v>127</v>
      </c>
      <c r="E15" s="26" t="s">
        <v>128</v>
      </c>
    </row>
    <row r="16" spans="1:6">
      <c r="A16" s="36">
        <v>41395</v>
      </c>
      <c r="B16" s="2" t="s">
        <v>116</v>
      </c>
      <c r="C16" s="33" t="s">
        <v>124</v>
      </c>
      <c r="D16" s="33" t="s">
        <v>129</v>
      </c>
      <c r="E16" s="37">
        <v>7</v>
      </c>
    </row>
    <row r="17" spans="1:5">
      <c r="A17" s="36">
        <v>41395</v>
      </c>
      <c r="B17" s="2" t="s">
        <v>116</v>
      </c>
      <c r="C17" s="33" t="s">
        <v>21</v>
      </c>
      <c r="D17" s="33" t="s">
        <v>130</v>
      </c>
      <c r="E17" s="37">
        <v>7</v>
      </c>
    </row>
    <row r="18" spans="1:5">
      <c r="A18" s="36">
        <v>41395</v>
      </c>
      <c r="B18" s="2" t="s">
        <v>116</v>
      </c>
      <c r="C18" s="33" t="s">
        <v>131</v>
      </c>
      <c r="D18" s="33" t="s">
        <v>129</v>
      </c>
      <c r="E18" s="37">
        <v>7</v>
      </c>
    </row>
    <row r="19" spans="1:5">
      <c r="A19" s="36">
        <v>41395</v>
      </c>
      <c r="B19" s="33" t="s">
        <v>117</v>
      </c>
      <c r="C19" s="33" t="s">
        <v>125</v>
      </c>
      <c r="D19" s="33" t="s">
        <v>129</v>
      </c>
      <c r="E19" s="37">
        <v>60</v>
      </c>
    </row>
    <row r="20" spans="1:5">
      <c r="A20" s="36">
        <v>41395</v>
      </c>
      <c r="B20" s="34" t="s">
        <v>118</v>
      </c>
      <c r="C20" s="33" t="s">
        <v>125</v>
      </c>
      <c r="D20" s="33" t="s">
        <v>130</v>
      </c>
      <c r="E20" s="37">
        <v>33</v>
      </c>
    </row>
    <row r="21" spans="1:5">
      <c r="A21" s="36">
        <v>41395</v>
      </c>
      <c r="B21" s="2" t="s">
        <v>132</v>
      </c>
      <c r="C21" s="33" t="s">
        <v>133</v>
      </c>
      <c r="D21" s="33" t="s">
        <v>129</v>
      </c>
      <c r="E21" s="37">
        <v>67</v>
      </c>
    </row>
    <row r="22" spans="1:5">
      <c r="A22" s="36">
        <v>41395</v>
      </c>
      <c r="B22" s="2" t="s">
        <v>119</v>
      </c>
      <c r="C22" s="33" t="s">
        <v>131</v>
      </c>
      <c r="D22" s="33" t="s">
        <v>129</v>
      </c>
      <c r="E22" s="37">
        <v>33</v>
      </c>
    </row>
    <row r="23" spans="1:5">
      <c r="A23" s="36">
        <v>41395</v>
      </c>
      <c r="B23" s="2" t="s">
        <v>116</v>
      </c>
      <c r="C23" s="33" t="s">
        <v>134</v>
      </c>
      <c r="D23" s="33" t="s">
        <v>129</v>
      </c>
      <c r="E23" s="37">
        <v>7</v>
      </c>
    </row>
    <row r="24" spans="1:5">
      <c r="A24" s="36">
        <v>41396</v>
      </c>
      <c r="B24" s="2" t="s">
        <v>116</v>
      </c>
      <c r="C24" s="33" t="s">
        <v>134</v>
      </c>
      <c r="D24" s="33" t="s">
        <v>130</v>
      </c>
      <c r="E24" s="37">
        <v>7</v>
      </c>
    </row>
    <row r="25" spans="1:5">
      <c r="A25" s="36">
        <v>41396</v>
      </c>
      <c r="B25" s="2" t="s">
        <v>116</v>
      </c>
      <c r="C25" s="33" t="s">
        <v>135</v>
      </c>
      <c r="D25" s="33" t="s">
        <v>130</v>
      </c>
      <c r="E25" s="37">
        <v>17</v>
      </c>
    </row>
    <row r="26" spans="1:5">
      <c r="A26" s="36">
        <v>41396</v>
      </c>
      <c r="B26" s="2" t="s">
        <v>136</v>
      </c>
      <c r="C26" s="33" t="s">
        <v>135</v>
      </c>
      <c r="D26" s="33" t="s">
        <v>129</v>
      </c>
      <c r="E26" s="37">
        <v>3</v>
      </c>
    </row>
    <row r="27" spans="1:5">
      <c r="A27" s="36">
        <v>41396</v>
      </c>
      <c r="B27" s="2" t="s">
        <v>116</v>
      </c>
      <c r="C27" s="33" t="s">
        <v>134</v>
      </c>
      <c r="D27" s="33" t="s">
        <v>129</v>
      </c>
      <c r="E27" s="37">
        <v>7</v>
      </c>
    </row>
    <row r="28" spans="1:5">
      <c r="A28" s="36">
        <v>41396</v>
      </c>
      <c r="B28" s="2" t="s">
        <v>116</v>
      </c>
      <c r="C28" s="33" t="s">
        <v>131</v>
      </c>
      <c r="D28" s="33" t="s">
        <v>129</v>
      </c>
      <c r="E28" s="37">
        <v>7</v>
      </c>
    </row>
    <row r="29" spans="1:5">
      <c r="A29" s="36">
        <v>41396</v>
      </c>
      <c r="B29" s="2" t="s">
        <v>116</v>
      </c>
      <c r="C29" s="33" t="s">
        <v>124</v>
      </c>
      <c r="D29" s="33" t="s">
        <v>130</v>
      </c>
      <c r="E29" s="37">
        <v>7</v>
      </c>
    </row>
    <row r="30" spans="1:5">
      <c r="A30" s="36">
        <v>41396</v>
      </c>
      <c r="B30" s="33" t="s">
        <v>117</v>
      </c>
      <c r="C30" s="33" t="s">
        <v>135</v>
      </c>
      <c r="D30" s="33" t="s">
        <v>129</v>
      </c>
      <c r="E30" s="37">
        <v>60</v>
      </c>
    </row>
    <row r="31" spans="1:5">
      <c r="A31" s="36">
        <v>41396</v>
      </c>
      <c r="B31" s="34" t="s">
        <v>118</v>
      </c>
      <c r="C31" s="33" t="s">
        <v>133</v>
      </c>
      <c r="D31" s="33" t="s">
        <v>129</v>
      </c>
      <c r="E31" s="37">
        <v>33</v>
      </c>
    </row>
    <row r="32" spans="1:5">
      <c r="A32" s="36">
        <v>41396</v>
      </c>
      <c r="B32" s="2" t="s">
        <v>132</v>
      </c>
      <c r="C32" s="33" t="s">
        <v>125</v>
      </c>
      <c r="D32" s="33" t="s">
        <v>130</v>
      </c>
      <c r="E32" s="37">
        <v>67</v>
      </c>
    </row>
    <row r="33" spans="1:5">
      <c r="A33" s="36">
        <v>41396</v>
      </c>
      <c r="B33" s="2" t="s">
        <v>119</v>
      </c>
      <c r="C33" s="33" t="s">
        <v>124</v>
      </c>
      <c r="D33" s="33" t="s">
        <v>129</v>
      </c>
      <c r="E33" s="37">
        <v>33</v>
      </c>
    </row>
    <row r="34" spans="1:5">
      <c r="A34" s="36">
        <v>41396</v>
      </c>
      <c r="B34" s="2" t="s">
        <v>117</v>
      </c>
      <c r="C34" s="33" t="s">
        <v>21</v>
      </c>
      <c r="D34" s="33" t="s">
        <v>129</v>
      </c>
      <c r="E34" s="37">
        <v>23</v>
      </c>
    </row>
    <row r="35" spans="1:5">
      <c r="A35" s="36">
        <v>41396</v>
      </c>
      <c r="B35" s="2" t="s">
        <v>116</v>
      </c>
      <c r="C35" s="33" t="s">
        <v>135</v>
      </c>
      <c r="D35" s="33" t="s">
        <v>129</v>
      </c>
      <c r="E35" s="37">
        <v>7</v>
      </c>
    </row>
    <row r="36" spans="1:5">
      <c r="A36" s="36">
        <v>41396</v>
      </c>
      <c r="B36" s="2" t="s">
        <v>116</v>
      </c>
      <c r="C36" s="33" t="s">
        <v>124</v>
      </c>
      <c r="D36" s="33" t="s">
        <v>129</v>
      </c>
      <c r="E36" s="37">
        <v>17</v>
      </c>
    </row>
    <row r="37" spans="1:5">
      <c r="A37" s="36">
        <v>41396</v>
      </c>
      <c r="B37" s="2" t="s">
        <v>136</v>
      </c>
      <c r="C37" s="33" t="s">
        <v>134</v>
      </c>
      <c r="D37" s="33" t="s">
        <v>129</v>
      </c>
      <c r="E37" s="37">
        <v>3</v>
      </c>
    </row>
    <row r="38" spans="1:5">
      <c r="A38" s="36">
        <v>41397</v>
      </c>
      <c r="B38" s="2" t="s">
        <v>136</v>
      </c>
      <c r="C38" s="33" t="s">
        <v>135</v>
      </c>
      <c r="D38" s="33" t="s">
        <v>130</v>
      </c>
      <c r="E38" s="37">
        <v>3</v>
      </c>
    </row>
    <row r="39" spans="1:5">
      <c r="A39" s="36">
        <v>41397</v>
      </c>
      <c r="B39" s="2" t="s">
        <v>136</v>
      </c>
      <c r="C39" s="33" t="s">
        <v>131</v>
      </c>
      <c r="D39" s="33" t="s">
        <v>129</v>
      </c>
      <c r="E39" s="37">
        <v>3</v>
      </c>
    </row>
    <row r="40" spans="1:5">
      <c r="A40" s="36">
        <v>41397</v>
      </c>
      <c r="B40" s="33" t="s">
        <v>117</v>
      </c>
      <c r="C40" s="33" t="s">
        <v>21</v>
      </c>
      <c r="D40" s="33" t="s">
        <v>129</v>
      </c>
      <c r="E40" s="37">
        <v>60</v>
      </c>
    </row>
    <row r="41" spans="1:5">
      <c r="A41" s="36">
        <v>41397</v>
      </c>
      <c r="B41" s="34" t="s">
        <v>118</v>
      </c>
      <c r="C41" s="33" t="s">
        <v>131</v>
      </c>
      <c r="D41" s="33" t="s">
        <v>130</v>
      </c>
      <c r="E41" s="37">
        <v>33</v>
      </c>
    </row>
    <row r="42" spans="1:5">
      <c r="A42" s="36">
        <v>41397</v>
      </c>
      <c r="B42" s="2" t="s">
        <v>132</v>
      </c>
      <c r="C42" s="33" t="s">
        <v>133</v>
      </c>
      <c r="D42" s="33" t="s">
        <v>129</v>
      </c>
      <c r="E42" s="37">
        <v>67</v>
      </c>
    </row>
    <row r="43" spans="1:5">
      <c r="A43" s="36">
        <v>41397</v>
      </c>
      <c r="B43" s="2" t="s">
        <v>119</v>
      </c>
      <c r="C43" s="33" t="s">
        <v>21</v>
      </c>
      <c r="D43" s="33" t="s">
        <v>129</v>
      </c>
      <c r="E43" s="37">
        <v>33</v>
      </c>
    </row>
    <row r="44" spans="1:5">
      <c r="A44" s="36">
        <v>41397</v>
      </c>
      <c r="B44" s="2" t="s">
        <v>117</v>
      </c>
      <c r="C44" s="33" t="s">
        <v>124</v>
      </c>
      <c r="D44" s="33" t="s">
        <v>130</v>
      </c>
      <c r="E44" s="37">
        <v>23</v>
      </c>
    </row>
    <row r="45" spans="1:5">
      <c r="A45" s="36">
        <v>41397</v>
      </c>
      <c r="B45" s="2" t="s">
        <v>116</v>
      </c>
      <c r="C45" s="33" t="s">
        <v>133</v>
      </c>
      <c r="D45" s="33" t="s">
        <v>129</v>
      </c>
      <c r="E45" s="37">
        <v>7</v>
      </c>
    </row>
    <row r="46" spans="1:5">
      <c r="A46" s="36">
        <v>41398</v>
      </c>
      <c r="B46" s="2" t="s">
        <v>116</v>
      </c>
      <c r="C46" s="33" t="s">
        <v>21</v>
      </c>
      <c r="D46" s="33" t="s">
        <v>129</v>
      </c>
      <c r="E46" s="37">
        <v>17</v>
      </c>
    </row>
    <row r="47" spans="1:5">
      <c r="A47" s="36">
        <v>41398</v>
      </c>
      <c r="B47" s="2" t="s">
        <v>136</v>
      </c>
      <c r="C47" s="33" t="s">
        <v>125</v>
      </c>
      <c r="D47" s="33" t="s">
        <v>129</v>
      </c>
      <c r="E47" s="37">
        <v>3</v>
      </c>
    </row>
    <row r="48" spans="1:5">
      <c r="A48" s="36">
        <v>41398</v>
      </c>
      <c r="B48" s="2" t="s">
        <v>136</v>
      </c>
      <c r="C48" s="33" t="s">
        <v>135</v>
      </c>
      <c r="D48" s="33" t="s">
        <v>130</v>
      </c>
      <c r="E48" s="37">
        <v>3</v>
      </c>
    </row>
    <row r="49" spans="1:5">
      <c r="A49" s="36">
        <v>41398</v>
      </c>
      <c r="B49" s="34" t="s">
        <v>119</v>
      </c>
      <c r="C49" s="33" t="s">
        <v>135</v>
      </c>
      <c r="D49" s="33" t="s">
        <v>130</v>
      </c>
      <c r="E49" s="37">
        <v>40</v>
      </c>
    </row>
    <row r="50" spans="1:5">
      <c r="A50" s="36">
        <v>41398</v>
      </c>
      <c r="B50" s="2" t="s">
        <v>136</v>
      </c>
      <c r="C50" s="33" t="s">
        <v>124</v>
      </c>
      <c r="D50" s="33" t="s">
        <v>130</v>
      </c>
      <c r="E50" s="37">
        <v>3</v>
      </c>
    </row>
    <row r="51" spans="1:5">
      <c r="A51" s="36">
        <v>41398</v>
      </c>
      <c r="B51" s="2" t="s">
        <v>136</v>
      </c>
      <c r="C51" s="33" t="s">
        <v>21</v>
      </c>
      <c r="D51" s="33" t="s">
        <v>129</v>
      </c>
      <c r="E51" s="37">
        <v>3</v>
      </c>
    </row>
    <row r="52" spans="1:5">
      <c r="A52" s="36">
        <v>41398</v>
      </c>
      <c r="B52" s="2" t="s">
        <v>136</v>
      </c>
      <c r="C52" s="33" t="s">
        <v>133</v>
      </c>
      <c r="D52" s="33" t="s">
        <v>129</v>
      </c>
      <c r="E52" s="37">
        <v>3</v>
      </c>
    </row>
    <row r="53" spans="1:5">
      <c r="A53" s="36">
        <v>41399</v>
      </c>
      <c r="B53" s="2" t="s">
        <v>119</v>
      </c>
      <c r="C53" s="33" t="s">
        <v>135</v>
      </c>
      <c r="D53" s="33" t="s">
        <v>129</v>
      </c>
      <c r="E53" s="37">
        <v>33</v>
      </c>
    </row>
    <row r="54" spans="1:5">
      <c r="A54" s="36">
        <v>41399</v>
      </c>
      <c r="B54" s="2" t="s">
        <v>119</v>
      </c>
      <c r="C54" s="33" t="s">
        <v>125</v>
      </c>
      <c r="D54" s="33" t="s">
        <v>130</v>
      </c>
      <c r="E54" s="37">
        <v>33</v>
      </c>
    </row>
    <row r="55" spans="1:5">
      <c r="A55" s="36">
        <v>41399</v>
      </c>
      <c r="B55" s="2" t="s">
        <v>116</v>
      </c>
      <c r="C55" s="33" t="s">
        <v>21</v>
      </c>
      <c r="D55" s="33" t="s">
        <v>129</v>
      </c>
      <c r="E55" s="37">
        <v>7</v>
      </c>
    </row>
    <row r="56" spans="1:5">
      <c r="A56" s="36">
        <v>41399</v>
      </c>
      <c r="B56" s="2" t="s">
        <v>116</v>
      </c>
      <c r="C56" s="33" t="s">
        <v>21</v>
      </c>
      <c r="D56" s="33" t="s">
        <v>129</v>
      </c>
      <c r="E56" s="37">
        <v>17</v>
      </c>
    </row>
    <row r="57" spans="1:5">
      <c r="A57" s="36">
        <v>41399</v>
      </c>
      <c r="B57" s="38" t="s">
        <v>117</v>
      </c>
      <c r="C57" s="33" t="s">
        <v>133</v>
      </c>
      <c r="D57" s="33" t="s">
        <v>129</v>
      </c>
      <c r="E57" s="37">
        <v>33</v>
      </c>
    </row>
    <row r="58" spans="1:5">
      <c r="A58" s="36">
        <v>41399</v>
      </c>
      <c r="B58" s="39" t="s">
        <v>117</v>
      </c>
      <c r="C58" s="33" t="s">
        <v>133</v>
      </c>
      <c r="D58" s="33" t="s">
        <v>130</v>
      </c>
      <c r="E58" s="37">
        <v>40</v>
      </c>
    </row>
    <row r="59" spans="1:5">
      <c r="A59" s="36">
        <v>41399</v>
      </c>
      <c r="B59" s="34" t="s">
        <v>119</v>
      </c>
      <c r="C59" s="33" t="s">
        <v>133</v>
      </c>
      <c r="D59" s="33" t="s">
        <v>129</v>
      </c>
      <c r="E59" s="37">
        <v>40</v>
      </c>
    </row>
    <row r="60" spans="1:5">
      <c r="A60" s="36">
        <v>41399</v>
      </c>
      <c r="B60" s="33" t="s">
        <v>117</v>
      </c>
      <c r="C60" s="33" t="s">
        <v>131</v>
      </c>
      <c r="D60" s="33" t="s">
        <v>129</v>
      </c>
      <c r="E60" s="37">
        <v>60</v>
      </c>
    </row>
    <row r="61" spans="1:5">
      <c r="A61" s="36">
        <v>41399</v>
      </c>
      <c r="B61" s="34" t="s">
        <v>118</v>
      </c>
      <c r="C61" s="33" t="s">
        <v>135</v>
      </c>
      <c r="D61" s="33" t="s">
        <v>129</v>
      </c>
      <c r="E61" s="37">
        <v>33</v>
      </c>
    </row>
    <row r="62" spans="1:5">
      <c r="A62" s="36">
        <v>41399</v>
      </c>
      <c r="B62" s="2" t="s">
        <v>132</v>
      </c>
      <c r="C62" s="33" t="s">
        <v>135</v>
      </c>
      <c r="D62" s="33" t="s">
        <v>129</v>
      </c>
      <c r="E62" s="37">
        <v>67</v>
      </c>
    </row>
    <row r="63" spans="1:5">
      <c r="A63" s="36">
        <v>41399</v>
      </c>
      <c r="B63" s="2" t="s">
        <v>119</v>
      </c>
      <c r="C63" s="33" t="s">
        <v>21</v>
      </c>
      <c r="D63" s="33" t="s">
        <v>129</v>
      </c>
      <c r="E63" s="37">
        <v>33</v>
      </c>
    </row>
    <row r="64" spans="1:5">
      <c r="A64" s="36">
        <v>41399</v>
      </c>
      <c r="B64" s="2" t="s">
        <v>116</v>
      </c>
      <c r="C64" s="33" t="s">
        <v>134</v>
      </c>
      <c r="D64" s="33" t="s">
        <v>129</v>
      </c>
      <c r="E64" s="37">
        <v>7</v>
      </c>
    </row>
    <row r="65" spans="1:5">
      <c r="A65" s="36">
        <v>41399</v>
      </c>
      <c r="B65" s="2" t="s">
        <v>116</v>
      </c>
      <c r="C65" s="33" t="s">
        <v>133</v>
      </c>
      <c r="D65" s="33" t="s">
        <v>129</v>
      </c>
      <c r="E65" s="37">
        <v>7</v>
      </c>
    </row>
    <row r="66" spans="1:5">
      <c r="A66" s="36">
        <v>41400</v>
      </c>
      <c r="B66" s="2" t="s">
        <v>119</v>
      </c>
      <c r="C66" s="33" t="s">
        <v>133</v>
      </c>
      <c r="D66" s="33" t="s">
        <v>129</v>
      </c>
      <c r="E66" s="37">
        <v>33</v>
      </c>
    </row>
    <row r="67" spans="1:5">
      <c r="A67" s="36">
        <v>41400</v>
      </c>
      <c r="B67" s="2" t="s">
        <v>116</v>
      </c>
      <c r="C67" s="33" t="s">
        <v>135</v>
      </c>
      <c r="D67" s="33" t="s">
        <v>130</v>
      </c>
      <c r="E67" s="37">
        <v>7</v>
      </c>
    </row>
    <row r="68" spans="1:5">
      <c r="A68" s="36">
        <v>41400</v>
      </c>
      <c r="B68" s="39" t="s">
        <v>117</v>
      </c>
      <c r="C68" s="33" t="s">
        <v>131</v>
      </c>
      <c r="D68" s="33" t="s">
        <v>129</v>
      </c>
      <c r="E68" s="37">
        <v>40</v>
      </c>
    </row>
    <row r="69" spans="1:5">
      <c r="A69" s="36">
        <v>41400</v>
      </c>
      <c r="B69" s="34" t="s">
        <v>119</v>
      </c>
      <c r="C69" s="33" t="s">
        <v>125</v>
      </c>
      <c r="D69" s="33" t="s">
        <v>129</v>
      </c>
      <c r="E69" s="37">
        <v>40</v>
      </c>
    </row>
    <row r="70" spans="1:5">
      <c r="A70" s="36">
        <v>41400</v>
      </c>
      <c r="B70" s="33" t="s">
        <v>117</v>
      </c>
      <c r="C70" s="33" t="s">
        <v>133</v>
      </c>
      <c r="D70" s="33" t="s">
        <v>129</v>
      </c>
      <c r="E70" s="37">
        <v>60</v>
      </c>
    </row>
    <row r="71" spans="1:5">
      <c r="A71" s="36">
        <v>41400</v>
      </c>
      <c r="B71" s="34" t="s">
        <v>118</v>
      </c>
      <c r="C71" s="33" t="s">
        <v>134</v>
      </c>
      <c r="D71" s="33" t="s">
        <v>129</v>
      </c>
      <c r="E71" s="37">
        <v>33</v>
      </c>
    </row>
    <row r="72" spans="1:5">
      <c r="A72" s="36">
        <v>41400</v>
      </c>
      <c r="B72" s="2" t="s">
        <v>132</v>
      </c>
      <c r="C72" s="33" t="s">
        <v>133</v>
      </c>
      <c r="D72" s="33" t="s">
        <v>129</v>
      </c>
      <c r="E72" s="37">
        <v>67</v>
      </c>
    </row>
    <row r="73" spans="1:5">
      <c r="A73" s="36">
        <v>41400</v>
      </c>
      <c r="B73" s="2" t="s">
        <v>119</v>
      </c>
      <c r="C73" s="33" t="s">
        <v>135</v>
      </c>
      <c r="D73" s="33" t="s">
        <v>129</v>
      </c>
      <c r="E73" s="37">
        <v>33</v>
      </c>
    </row>
    <row r="74" spans="1:5">
      <c r="A74" s="36">
        <v>41400</v>
      </c>
      <c r="B74" s="2" t="s">
        <v>117</v>
      </c>
      <c r="C74" s="33" t="s">
        <v>125</v>
      </c>
      <c r="D74" s="33" t="s">
        <v>129</v>
      </c>
      <c r="E74" s="37">
        <v>23</v>
      </c>
    </row>
    <row r="75" spans="1:5">
      <c r="A75" s="36">
        <v>41401</v>
      </c>
      <c r="B75" s="2" t="s">
        <v>119</v>
      </c>
      <c r="C75" s="33" t="s">
        <v>135</v>
      </c>
      <c r="D75" s="33" t="s">
        <v>130</v>
      </c>
      <c r="E75" s="37">
        <v>33</v>
      </c>
    </row>
    <row r="76" spans="1:5">
      <c r="A76" s="36">
        <v>41401</v>
      </c>
      <c r="B76" s="2" t="s">
        <v>116</v>
      </c>
      <c r="C76" s="33" t="s">
        <v>133</v>
      </c>
      <c r="D76" s="33" t="s">
        <v>129</v>
      </c>
      <c r="E76" s="37">
        <v>17</v>
      </c>
    </row>
    <row r="77" spans="1:5">
      <c r="A77" s="36">
        <v>41401</v>
      </c>
      <c r="B77" s="38" t="s">
        <v>117</v>
      </c>
      <c r="C77" s="33" t="s">
        <v>135</v>
      </c>
      <c r="D77" s="33" t="s">
        <v>129</v>
      </c>
      <c r="E77" s="37">
        <v>33</v>
      </c>
    </row>
    <row r="78" spans="1:5">
      <c r="A78" s="36">
        <v>41401</v>
      </c>
      <c r="B78" s="39" t="s">
        <v>117</v>
      </c>
      <c r="C78" s="33" t="s">
        <v>21</v>
      </c>
      <c r="D78" s="33" t="s">
        <v>129</v>
      </c>
      <c r="E78" s="37">
        <v>40</v>
      </c>
    </row>
    <row r="79" spans="1:5">
      <c r="A79" s="36">
        <v>41401</v>
      </c>
      <c r="B79" s="2" t="s">
        <v>116</v>
      </c>
      <c r="C79" s="33" t="s">
        <v>133</v>
      </c>
      <c r="D79" s="33" t="s">
        <v>129</v>
      </c>
      <c r="E79" s="37">
        <v>7</v>
      </c>
    </row>
    <row r="80" spans="1:5">
      <c r="A80" s="36">
        <v>41401</v>
      </c>
      <c r="B80" s="2" t="s">
        <v>116</v>
      </c>
      <c r="C80" s="33" t="s">
        <v>134</v>
      </c>
      <c r="D80" s="33" t="s">
        <v>129</v>
      </c>
      <c r="E80" s="37">
        <v>7</v>
      </c>
    </row>
    <row r="81" spans="1:5">
      <c r="A81" s="36">
        <v>41402</v>
      </c>
      <c r="B81" s="34" t="s">
        <v>118</v>
      </c>
      <c r="C81" s="33" t="s">
        <v>131</v>
      </c>
      <c r="D81" s="33" t="s">
        <v>129</v>
      </c>
      <c r="E81" s="37">
        <v>33</v>
      </c>
    </row>
    <row r="82" spans="1:5">
      <c r="A82" s="36">
        <v>41402</v>
      </c>
      <c r="B82" s="2" t="s">
        <v>132</v>
      </c>
      <c r="C82" s="33" t="s">
        <v>133</v>
      </c>
      <c r="D82" s="33" t="s">
        <v>130</v>
      </c>
      <c r="E82" s="37">
        <v>67</v>
      </c>
    </row>
    <row r="83" spans="1:5">
      <c r="A83" s="36">
        <v>41402</v>
      </c>
      <c r="B83" s="2" t="s">
        <v>116</v>
      </c>
      <c r="C83" s="33" t="s">
        <v>131</v>
      </c>
      <c r="D83" s="33" t="s">
        <v>130</v>
      </c>
      <c r="E83" s="37">
        <v>7</v>
      </c>
    </row>
    <row r="84" spans="1:5">
      <c r="A84" s="36">
        <v>41402</v>
      </c>
      <c r="B84" s="2" t="s">
        <v>116</v>
      </c>
      <c r="C84" s="33" t="s">
        <v>133</v>
      </c>
      <c r="D84" s="33" t="s">
        <v>130</v>
      </c>
      <c r="E84" s="37">
        <v>7</v>
      </c>
    </row>
    <row r="85" spans="1:5">
      <c r="A85" s="36">
        <v>41402</v>
      </c>
      <c r="B85" s="2" t="s">
        <v>119</v>
      </c>
      <c r="C85" s="33" t="s">
        <v>134</v>
      </c>
      <c r="D85" s="33" t="s">
        <v>129</v>
      </c>
      <c r="E85" s="37">
        <v>33</v>
      </c>
    </row>
    <row r="86" spans="1:5">
      <c r="A86" s="36">
        <v>41402</v>
      </c>
      <c r="B86" s="2" t="s">
        <v>116</v>
      </c>
      <c r="C86" s="33" t="s">
        <v>125</v>
      </c>
      <c r="D86" s="33" t="s">
        <v>129</v>
      </c>
      <c r="E86" s="37">
        <v>17</v>
      </c>
    </row>
    <row r="87" spans="1:5">
      <c r="A87" s="36">
        <v>41402</v>
      </c>
      <c r="B87" s="38" t="s">
        <v>117</v>
      </c>
      <c r="C87" s="33" t="s">
        <v>133</v>
      </c>
      <c r="D87" s="33" t="s">
        <v>129</v>
      </c>
      <c r="E87" s="37">
        <v>33</v>
      </c>
    </row>
    <row r="88" spans="1:5">
      <c r="A88" s="36">
        <v>41402</v>
      </c>
      <c r="B88" s="39" t="s">
        <v>117</v>
      </c>
      <c r="C88" s="33" t="s">
        <v>133</v>
      </c>
      <c r="D88" s="33" t="s">
        <v>129</v>
      </c>
      <c r="E88" s="37">
        <v>40</v>
      </c>
    </row>
    <row r="89" spans="1:5">
      <c r="A89" s="36">
        <v>41402</v>
      </c>
      <c r="B89" s="2" t="s">
        <v>116</v>
      </c>
      <c r="C89" s="33" t="s">
        <v>133</v>
      </c>
      <c r="D89" s="33" t="s">
        <v>129</v>
      </c>
      <c r="E89" s="37">
        <v>7</v>
      </c>
    </row>
    <row r="90" spans="1:5">
      <c r="A90" s="36">
        <v>41402</v>
      </c>
      <c r="B90" s="2" t="s">
        <v>119</v>
      </c>
      <c r="C90" s="33" t="s">
        <v>125</v>
      </c>
      <c r="D90" s="33" t="s">
        <v>130</v>
      </c>
      <c r="E90" s="37">
        <v>33</v>
      </c>
    </row>
    <row r="91" spans="1:5">
      <c r="A91" s="36">
        <v>41402</v>
      </c>
      <c r="B91" s="2" t="s">
        <v>116</v>
      </c>
      <c r="C91" s="33" t="s">
        <v>135</v>
      </c>
      <c r="D91" s="33" t="s">
        <v>129</v>
      </c>
      <c r="E91" s="37">
        <v>7</v>
      </c>
    </row>
    <row r="92" spans="1:5">
      <c r="A92" s="36">
        <v>41402</v>
      </c>
      <c r="B92" s="2" t="s">
        <v>119</v>
      </c>
      <c r="C92" s="33" t="s">
        <v>124</v>
      </c>
      <c r="D92" s="33" t="s">
        <v>129</v>
      </c>
      <c r="E92" s="37">
        <v>33</v>
      </c>
    </row>
    <row r="93" spans="1:5">
      <c r="A93" s="36">
        <v>41402</v>
      </c>
      <c r="B93" s="2" t="s">
        <v>116</v>
      </c>
      <c r="C93" s="33" t="s">
        <v>134</v>
      </c>
      <c r="D93" s="33" t="s">
        <v>130</v>
      </c>
      <c r="E93" s="37">
        <v>7</v>
      </c>
    </row>
    <row r="94" spans="1:5">
      <c r="A94" s="36">
        <v>41403</v>
      </c>
      <c r="B94" s="2" t="s">
        <v>116</v>
      </c>
      <c r="C94" s="33" t="s">
        <v>134</v>
      </c>
      <c r="D94" s="33" t="s">
        <v>130</v>
      </c>
      <c r="E94" s="37">
        <v>7</v>
      </c>
    </row>
    <row r="95" spans="1:5">
      <c r="A95" s="36">
        <v>41403</v>
      </c>
      <c r="B95" s="2" t="s">
        <v>116</v>
      </c>
      <c r="C95" s="33" t="s">
        <v>133</v>
      </c>
      <c r="D95" s="33" t="s">
        <v>129</v>
      </c>
      <c r="E95" s="37">
        <v>7</v>
      </c>
    </row>
    <row r="96" spans="1:5">
      <c r="A96" s="36">
        <v>41403</v>
      </c>
      <c r="B96" s="2" t="s">
        <v>116</v>
      </c>
      <c r="C96" s="33" t="s">
        <v>133</v>
      </c>
      <c r="D96" s="33" t="s">
        <v>130</v>
      </c>
      <c r="E96" s="37">
        <v>17</v>
      </c>
    </row>
    <row r="97" spans="1:5">
      <c r="A97" s="36">
        <v>41403</v>
      </c>
      <c r="B97" s="38" t="s">
        <v>117</v>
      </c>
      <c r="C97" s="33" t="s">
        <v>124</v>
      </c>
      <c r="D97" s="33" t="s">
        <v>130</v>
      </c>
      <c r="E97" s="37">
        <v>33</v>
      </c>
    </row>
    <row r="98" spans="1:5">
      <c r="A98" s="36">
        <v>41403</v>
      </c>
      <c r="B98" s="39" t="s">
        <v>117</v>
      </c>
      <c r="C98" s="33" t="s">
        <v>131</v>
      </c>
      <c r="D98" s="33" t="s">
        <v>129</v>
      </c>
      <c r="E98" s="37">
        <v>40</v>
      </c>
    </row>
    <row r="99" spans="1:5">
      <c r="A99" s="36">
        <v>41403</v>
      </c>
      <c r="B99" s="2" t="s">
        <v>116</v>
      </c>
      <c r="C99" s="33" t="s">
        <v>133</v>
      </c>
      <c r="D99" s="33" t="s">
        <v>129</v>
      </c>
      <c r="E99" s="37">
        <v>7</v>
      </c>
    </row>
    <row r="100" spans="1:5">
      <c r="A100" s="36">
        <v>41403</v>
      </c>
      <c r="B100" s="2" t="s">
        <v>116</v>
      </c>
      <c r="C100" s="33" t="s">
        <v>134</v>
      </c>
      <c r="D100" s="33" t="s">
        <v>129</v>
      </c>
      <c r="E100" s="37">
        <v>7</v>
      </c>
    </row>
    <row r="101" spans="1:5">
      <c r="A101" s="36">
        <v>41403</v>
      </c>
      <c r="B101" s="34" t="s">
        <v>118</v>
      </c>
      <c r="C101" s="33" t="s">
        <v>133</v>
      </c>
      <c r="D101" s="33" t="s">
        <v>129</v>
      </c>
      <c r="E101" s="37">
        <v>33</v>
      </c>
    </row>
    <row r="102" spans="1:5">
      <c r="A102" s="36">
        <v>41403</v>
      </c>
      <c r="B102" s="2" t="s">
        <v>116</v>
      </c>
      <c r="C102" s="33" t="s">
        <v>21</v>
      </c>
      <c r="D102" s="33" t="s">
        <v>130</v>
      </c>
      <c r="E102" s="37">
        <v>7</v>
      </c>
    </row>
    <row r="103" spans="1:5">
      <c r="A103" s="36">
        <v>41403</v>
      </c>
      <c r="B103" s="34" t="s">
        <v>118</v>
      </c>
      <c r="C103" s="33" t="s">
        <v>131</v>
      </c>
      <c r="D103" s="33" t="s">
        <v>129</v>
      </c>
      <c r="E103" s="37">
        <v>33</v>
      </c>
    </row>
    <row r="104" spans="1:5">
      <c r="A104" s="36">
        <v>41404</v>
      </c>
      <c r="B104" s="2" t="s">
        <v>117</v>
      </c>
      <c r="C104" s="33" t="s">
        <v>124</v>
      </c>
      <c r="D104" s="33" t="s">
        <v>129</v>
      </c>
      <c r="E104" s="37">
        <v>23</v>
      </c>
    </row>
    <row r="105" spans="1:5">
      <c r="A105" s="36">
        <v>41404</v>
      </c>
      <c r="B105" s="2" t="s">
        <v>116</v>
      </c>
      <c r="C105" s="33" t="s">
        <v>133</v>
      </c>
      <c r="D105" s="33" t="s">
        <v>129</v>
      </c>
      <c r="E105" s="37">
        <v>7</v>
      </c>
    </row>
    <row r="106" spans="1:5">
      <c r="A106" s="36">
        <v>41404</v>
      </c>
      <c r="B106" s="2" t="s">
        <v>116</v>
      </c>
      <c r="C106" s="33" t="s">
        <v>133</v>
      </c>
      <c r="D106" s="33" t="s">
        <v>130</v>
      </c>
      <c r="E106" s="37">
        <v>17</v>
      </c>
    </row>
    <row r="107" spans="1:5">
      <c r="A107" s="36">
        <v>41404</v>
      </c>
      <c r="B107" s="38" t="s">
        <v>117</v>
      </c>
      <c r="C107" s="33" t="s">
        <v>125</v>
      </c>
      <c r="D107" s="33" t="s">
        <v>129</v>
      </c>
      <c r="E107" s="37">
        <v>33</v>
      </c>
    </row>
    <row r="108" spans="1:5">
      <c r="A108" s="36">
        <v>41404</v>
      </c>
      <c r="B108" s="2" t="s">
        <v>119</v>
      </c>
      <c r="C108" s="33" t="s">
        <v>133</v>
      </c>
      <c r="D108" s="33" t="s">
        <v>130</v>
      </c>
      <c r="E108" s="37">
        <v>33</v>
      </c>
    </row>
    <row r="109" spans="1:5">
      <c r="A109" s="36">
        <v>41404</v>
      </c>
      <c r="B109" s="34" t="s">
        <v>119</v>
      </c>
      <c r="C109" s="33" t="s">
        <v>134</v>
      </c>
      <c r="D109" s="33" t="s">
        <v>129</v>
      </c>
      <c r="E109" s="37">
        <v>40</v>
      </c>
    </row>
    <row r="110" spans="1:5">
      <c r="A110" s="36">
        <v>41404</v>
      </c>
      <c r="B110" s="33" t="s">
        <v>117</v>
      </c>
      <c r="C110" s="33" t="s">
        <v>125</v>
      </c>
      <c r="D110" s="33" t="s">
        <v>129</v>
      </c>
      <c r="E110" s="37">
        <v>60</v>
      </c>
    </row>
    <row r="111" spans="1:5">
      <c r="A111" s="36">
        <v>41404</v>
      </c>
      <c r="B111" s="34" t="s">
        <v>118</v>
      </c>
      <c r="C111" s="33" t="s">
        <v>125</v>
      </c>
      <c r="D111" s="33" t="s">
        <v>129</v>
      </c>
      <c r="E111" s="37">
        <v>33</v>
      </c>
    </row>
    <row r="112" spans="1:5">
      <c r="A112" s="36">
        <v>41404</v>
      </c>
      <c r="B112" s="2" t="s">
        <v>132</v>
      </c>
      <c r="C112" s="33" t="s">
        <v>134</v>
      </c>
      <c r="D112" s="33" t="s">
        <v>129</v>
      </c>
      <c r="E112" s="37">
        <v>67</v>
      </c>
    </row>
    <row r="113" spans="1:5">
      <c r="A113" s="36">
        <v>41404</v>
      </c>
      <c r="B113" s="2" t="s">
        <v>119</v>
      </c>
      <c r="C113" s="33" t="s">
        <v>133</v>
      </c>
      <c r="D113" s="33" t="s">
        <v>130</v>
      </c>
      <c r="E113" s="37">
        <v>33</v>
      </c>
    </row>
    <row r="114" spans="1:5">
      <c r="A114" s="36">
        <v>41404</v>
      </c>
      <c r="B114" s="2" t="s">
        <v>117</v>
      </c>
      <c r="C114" s="33" t="s">
        <v>124</v>
      </c>
      <c r="D114" s="33" t="s">
        <v>130</v>
      </c>
      <c r="E114" s="37">
        <v>23</v>
      </c>
    </row>
    <row r="115" spans="1:5">
      <c r="A115" s="36">
        <v>41405</v>
      </c>
      <c r="B115" s="2" t="s">
        <v>116</v>
      </c>
      <c r="C115" s="33" t="s">
        <v>135</v>
      </c>
      <c r="D115" s="33" t="s">
        <v>130</v>
      </c>
      <c r="E115" s="37">
        <v>7</v>
      </c>
    </row>
    <row r="116" spans="1:5">
      <c r="A116" s="36">
        <v>41405</v>
      </c>
      <c r="B116" s="2" t="s">
        <v>116</v>
      </c>
      <c r="C116" s="33" t="s">
        <v>125</v>
      </c>
      <c r="D116" s="33" t="s">
        <v>130</v>
      </c>
      <c r="E116" s="37">
        <v>17</v>
      </c>
    </row>
    <row r="117" spans="1:5">
      <c r="A117" s="36">
        <v>41405</v>
      </c>
      <c r="B117" s="38" t="s">
        <v>117</v>
      </c>
      <c r="C117" s="33" t="s">
        <v>135</v>
      </c>
      <c r="D117" s="33" t="s">
        <v>130</v>
      </c>
      <c r="E117" s="37">
        <v>33</v>
      </c>
    </row>
    <row r="118" spans="1:5">
      <c r="A118" s="36">
        <v>41405</v>
      </c>
      <c r="B118" s="2" t="s">
        <v>116</v>
      </c>
      <c r="C118" s="33" t="s">
        <v>21</v>
      </c>
      <c r="D118" s="33" t="s">
        <v>129</v>
      </c>
      <c r="E118" s="37">
        <v>7</v>
      </c>
    </row>
    <row r="119" spans="1:5">
      <c r="A119" s="36">
        <v>41405</v>
      </c>
      <c r="B119" s="34" t="s">
        <v>118</v>
      </c>
      <c r="C119" s="33" t="s">
        <v>134</v>
      </c>
      <c r="D119" s="33" t="s">
        <v>129</v>
      </c>
      <c r="E119" s="37">
        <v>33</v>
      </c>
    </row>
    <row r="120" spans="1:5">
      <c r="A120" s="36">
        <v>41405</v>
      </c>
      <c r="B120" s="34" t="s">
        <v>118</v>
      </c>
      <c r="C120" s="33" t="s">
        <v>21</v>
      </c>
      <c r="D120" s="33" t="s">
        <v>129</v>
      </c>
      <c r="E120" s="37">
        <v>33</v>
      </c>
    </row>
    <row r="121" spans="1:5">
      <c r="A121" s="36">
        <v>41405</v>
      </c>
      <c r="B121" s="34" t="s">
        <v>118</v>
      </c>
      <c r="C121" s="33" t="s">
        <v>133</v>
      </c>
      <c r="D121" s="33" t="s">
        <v>129</v>
      </c>
      <c r="E121" s="37">
        <v>33</v>
      </c>
    </row>
    <row r="122" spans="1:5">
      <c r="A122" s="36">
        <v>41405</v>
      </c>
      <c r="B122" s="2" t="s">
        <v>116</v>
      </c>
      <c r="C122" s="33" t="s">
        <v>125</v>
      </c>
      <c r="D122" s="33" t="s">
        <v>129</v>
      </c>
      <c r="E122" s="37">
        <v>7</v>
      </c>
    </row>
    <row r="123" spans="1:5">
      <c r="A123" s="36">
        <v>41405</v>
      </c>
      <c r="B123" s="2" t="s">
        <v>119</v>
      </c>
      <c r="C123" s="33" t="s">
        <v>131</v>
      </c>
      <c r="D123" s="33" t="s">
        <v>129</v>
      </c>
      <c r="E123" s="37">
        <v>33</v>
      </c>
    </row>
    <row r="124" spans="1:5">
      <c r="A124" s="36">
        <v>41405</v>
      </c>
      <c r="B124" s="2" t="s">
        <v>117</v>
      </c>
      <c r="C124" s="33" t="s">
        <v>125</v>
      </c>
      <c r="D124" s="33" t="s">
        <v>130</v>
      </c>
      <c r="E124" s="37">
        <v>23</v>
      </c>
    </row>
    <row r="125" spans="1:5">
      <c r="A125" s="36">
        <v>41406</v>
      </c>
      <c r="B125" s="2" t="s">
        <v>116</v>
      </c>
      <c r="C125" s="33" t="s">
        <v>134</v>
      </c>
      <c r="D125" s="33" t="s">
        <v>130</v>
      </c>
      <c r="E125" s="37">
        <v>7</v>
      </c>
    </row>
    <row r="126" spans="1:5">
      <c r="A126" s="36">
        <v>41406</v>
      </c>
      <c r="B126" s="2" t="s">
        <v>116</v>
      </c>
      <c r="C126" s="33" t="s">
        <v>134</v>
      </c>
      <c r="D126" s="33" t="s">
        <v>129</v>
      </c>
      <c r="E126" s="37">
        <v>17</v>
      </c>
    </row>
    <row r="127" spans="1:5">
      <c r="A127" s="36">
        <v>41406</v>
      </c>
      <c r="B127" s="34" t="s">
        <v>118</v>
      </c>
      <c r="C127" s="33" t="s">
        <v>134</v>
      </c>
      <c r="D127" s="33" t="s">
        <v>129</v>
      </c>
      <c r="E127" s="37">
        <v>33</v>
      </c>
    </row>
    <row r="128" spans="1:5">
      <c r="A128" s="36">
        <v>41406</v>
      </c>
      <c r="B128" s="2" t="s">
        <v>116</v>
      </c>
      <c r="C128" s="33" t="s">
        <v>124</v>
      </c>
      <c r="D128" s="33" t="s">
        <v>129</v>
      </c>
      <c r="E128" s="37">
        <v>7</v>
      </c>
    </row>
    <row r="129" spans="1:5">
      <c r="A129" s="36">
        <v>41406</v>
      </c>
      <c r="B129" s="2" t="s">
        <v>116</v>
      </c>
      <c r="C129" s="33" t="s">
        <v>134</v>
      </c>
      <c r="D129" s="33" t="s">
        <v>130</v>
      </c>
      <c r="E129" s="37">
        <v>7</v>
      </c>
    </row>
    <row r="130" spans="1:5">
      <c r="A130" s="36">
        <v>41406</v>
      </c>
      <c r="B130" s="33" t="s">
        <v>117</v>
      </c>
      <c r="C130" s="33" t="s">
        <v>131</v>
      </c>
      <c r="D130" s="33" t="s">
        <v>129</v>
      </c>
      <c r="E130" s="37">
        <v>60</v>
      </c>
    </row>
    <row r="131" spans="1:5">
      <c r="A131" s="36">
        <v>41406</v>
      </c>
      <c r="B131" s="34" t="s">
        <v>118</v>
      </c>
      <c r="C131" s="33" t="s">
        <v>124</v>
      </c>
      <c r="D131" s="33" t="s">
        <v>130</v>
      </c>
      <c r="E131" s="37">
        <v>33</v>
      </c>
    </row>
    <row r="132" spans="1:5">
      <c r="A132" s="36">
        <v>41406</v>
      </c>
      <c r="B132" s="2" t="s">
        <v>116</v>
      </c>
      <c r="C132" s="33" t="s">
        <v>124</v>
      </c>
      <c r="D132" s="33" t="s">
        <v>130</v>
      </c>
      <c r="E132" s="37">
        <v>7</v>
      </c>
    </row>
    <row r="133" spans="1:5">
      <c r="A133" s="36">
        <v>41407</v>
      </c>
      <c r="B133" s="2" t="s">
        <v>116</v>
      </c>
      <c r="C133" s="33" t="s">
        <v>131</v>
      </c>
      <c r="D133" s="33" t="s">
        <v>129</v>
      </c>
      <c r="E133" s="37">
        <v>7</v>
      </c>
    </row>
    <row r="134" spans="1:5">
      <c r="A134" s="36">
        <v>41407</v>
      </c>
      <c r="B134" s="34" t="s">
        <v>118</v>
      </c>
      <c r="C134" s="33" t="s">
        <v>124</v>
      </c>
      <c r="D134" s="33" t="s">
        <v>130</v>
      </c>
      <c r="E134" s="37">
        <v>33</v>
      </c>
    </row>
    <row r="135" spans="1:5">
      <c r="A135" s="36">
        <v>41407</v>
      </c>
      <c r="B135" s="2" t="s">
        <v>116</v>
      </c>
      <c r="C135" s="33" t="s">
        <v>133</v>
      </c>
      <c r="D135" s="33" t="s">
        <v>129</v>
      </c>
      <c r="E135" s="37">
        <v>7</v>
      </c>
    </row>
    <row r="136" spans="1:5">
      <c r="A136" s="36">
        <v>41407</v>
      </c>
      <c r="B136" s="2" t="s">
        <v>116</v>
      </c>
      <c r="C136" s="33" t="s">
        <v>133</v>
      </c>
      <c r="D136" s="33" t="s">
        <v>129</v>
      </c>
      <c r="E136" s="37">
        <v>7</v>
      </c>
    </row>
    <row r="137" spans="1:5">
      <c r="A137" s="36">
        <v>41407</v>
      </c>
      <c r="B137" s="38" t="s">
        <v>117</v>
      </c>
      <c r="C137" s="33" t="s">
        <v>125</v>
      </c>
      <c r="D137" s="33" t="s">
        <v>130</v>
      </c>
      <c r="E137" s="37">
        <v>33</v>
      </c>
    </row>
    <row r="138" spans="1:5">
      <c r="A138" s="36">
        <v>41407</v>
      </c>
      <c r="B138" s="34" t="s">
        <v>118</v>
      </c>
      <c r="C138" s="33" t="s">
        <v>21</v>
      </c>
      <c r="D138" s="33" t="s">
        <v>129</v>
      </c>
      <c r="E138" s="37">
        <v>33</v>
      </c>
    </row>
    <row r="139" spans="1:5">
      <c r="A139" s="36">
        <v>41407</v>
      </c>
      <c r="B139" s="34" t="s">
        <v>118</v>
      </c>
      <c r="C139" s="33" t="s">
        <v>133</v>
      </c>
      <c r="D139" s="33" t="s">
        <v>129</v>
      </c>
      <c r="E139" s="37">
        <v>33</v>
      </c>
    </row>
    <row r="140" spans="1:5">
      <c r="A140" s="36">
        <v>41407</v>
      </c>
      <c r="B140" s="34" t="s">
        <v>118</v>
      </c>
      <c r="C140" s="33" t="s">
        <v>135</v>
      </c>
      <c r="D140" s="33" t="s">
        <v>129</v>
      </c>
      <c r="E140" s="37">
        <v>33</v>
      </c>
    </row>
    <row r="141" spans="1:5">
      <c r="A141" s="36">
        <v>41407</v>
      </c>
      <c r="B141" s="34" t="s">
        <v>118</v>
      </c>
      <c r="C141" s="33" t="s">
        <v>131</v>
      </c>
      <c r="D141" s="33" t="s">
        <v>129</v>
      </c>
      <c r="E141" s="37">
        <v>33</v>
      </c>
    </row>
    <row r="142" spans="1:5">
      <c r="A142" s="36">
        <v>41407</v>
      </c>
      <c r="B142" s="2" t="s">
        <v>132</v>
      </c>
      <c r="C142" s="33" t="s">
        <v>135</v>
      </c>
      <c r="D142" s="33" t="s">
        <v>129</v>
      </c>
      <c r="E142" s="37">
        <v>67</v>
      </c>
    </row>
    <row r="143" spans="1:5">
      <c r="A143" s="36">
        <v>41407</v>
      </c>
      <c r="B143" s="34" t="s">
        <v>118</v>
      </c>
      <c r="C143" s="33" t="s">
        <v>135</v>
      </c>
      <c r="D143" s="33" t="s">
        <v>129</v>
      </c>
      <c r="E143" s="37">
        <v>33</v>
      </c>
    </row>
    <row r="144" spans="1:5">
      <c r="A144" s="36">
        <v>41407</v>
      </c>
      <c r="B144" s="2" t="s">
        <v>132</v>
      </c>
      <c r="C144" s="33" t="s">
        <v>133</v>
      </c>
      <c r="D144" s="33" t="s">
        <v>130</v>
      </c>
      <c r="E144" s="37">
        <v>67</v>
      </c>
    </row>
    <row r="145" spans="1:5">
      <c r="A145" s="36">
        <v>41407</v>
      </c>
      <c r="B145" s="2" t="s">
        <v>116</v>
      </c>
      <c r="C145" s="33" t="s">
        <v>125</v>
      </c>
      <c r="D145" s="33" t="s">
        <v>130</v>
      </c>
      <c r="E145" s="37">
        <v>7</v>
      </c>
    </row>
    <row r="146" spans="1:5">
      <c r="A146" s="36">
        <v>41407</v>
      </c>
      <c r="B146" s="2" t="s">
        <v>116</v>
      </c>
      <c r="C146" s="33" t="s">
        <v>21</v>
      </c>
      <c r="D146" s="33" t="s">
        <v>129</v>
      </c>
      <c r="E146" s="37">
        <v>17</v>
      </c>
    </row>
    <row r="147" spans="1:5">
      <c r="A147" s="36">
        <v>41408</v>
      </c>
      <c r="B147" s="38" t="s">
        <v>117</v>
      </c>
      <c r="C147" s="33" t="s">
        <v>124</v>
      </c>
      <c r="D147" s="33" t="s">
        <v>129</v>
      </c>
      <c r="E147" s="37">
        <v>33</v>
      </c>
    </row>
    <row r="148" spans="1:5">
      <c r="A148" s="36">
        <v>41408</v>
      </c>
      <c r="B148" s="34" t="s">
        <v>118</v>
      </c>
      <c r="C148" s="33" t="s">
        <v>21</v>
      </c>
      <c r="D148" s="33" t="s">
        <v>130</v>
      </c>
      <c r="E148" s="37">
        <v>33</v>
      </c>
    </row>
    <row r="149" spans="1:5">
      <c r="A149" s="36">
        <v>41408</v>
      </c>
      <c r="B149" s="34" t="s">
        <v>119</v>
      </c>
      <c r="C149" s="33" t="s">
        <v>21</v>
      </c>
      <c r="D149" s="33" t="s">
        <v>130</v>
      </c>
      <c r="E149" s="37">
        <v>40</v>
      </c>
    </row>
    <row r="150" spans="1:5">
      <c r="A150" s="36">
        <v>41408</v>
      </c>
      <c r="B150" s="2" t="s">
        <v>132</v>
      </c>
      <c r="C150" s="33" t="s">
        <v>131</v>
      </c>
      <c r="D150" s="33" t="s">
        <v>129</v>
      </c>
      <c r="E150" s="37">
        <v>67</v>
      </c>
    </row>
    <row r="151" spans="1:5">
      <c r="A151" s="36">
        <v>41408</v>
      </c>
      <c r="B151" s="2" t="s">
        <v>132</v>
      </c>
      <c r="C151" s="33" t="s">
        <v>131</v>
      </c>
      <c r="D151" s="33" t="s">
        <v>129</v>
      </c>
      <c r="E151" s="37">
        <v>67</v>
      </c>
    </row>
    <row r="152" spans="1:5">
      <c r="A152" s="36">
        <v>41408</v>
      </c>
      <c r="B152" s="34" t="s">
        <v>118</v>
      </c>
      <c r="C152" s="33" t="s">
        <v>125</v>
      </c>
      <c r="D152" s="33" t="s">
        <v>129</v>
      </c>
      <c r="E152" s="37">
        <v>33</v>
      </c>
    </row>
    <row r="153" spans="1:5">
      <c r="A153" s="36">
        <v>41408</v>
      </c>
      <c r="B153" s="34" t="s">
        <v>118</v>
      </c>
      <c r="C153" s="33" t="s">
        <v>134</v>
      </c>
      <c r="D153" s="33" t="s">
        <v>129</v>
      </c>
      <c r="E153" s="37">
        <v>33</v>
      </c>
    </row>
    <row r="154" spans="1:5">
      <c r="A154" s="36">
        <v>41408</v>
      </c>
      <c r="B154" s="2" t="s">
        <v>132</v>
      </c>
      <c r="C154" s="33" t="s">
        <v>133</v>
      </c>
      <c r="D154" s="33" t="s">
        <v>129</v>
      </c>
      <c r="E154" s="37">
        <v>67</v>
      </c>
    </row>
    <row r="155" spans="1:5">
      <c r="A155" s="36">
        <v>41408</v>
      </c>
      <c r="B155" s="34" t="s">
        <v>118</v>
      </c>
      <c r="C155" s="33" t="s">
        <v>21</v>
      </c>
      <c r="D155" s="33" t="s">
        <v>129</v>
      </c>
      <c r="E155" s="37">
        <v>33</v>
      </c>
    </row>
    <row r="156" spans="1:5">
      <c r="A156" s="36">
        <v>41409</v>
      </c>
      <c r="B156" s="2" t="s">
        <v>116</v>
      </c>
      <c r="C156" s="33" t="s">
        <v>134</v>
      </c>
      <c r="D156" s="33" t="s">
        <v>130</v>
      </c>
      <c r="E156" s="37">
        <v>17</v>
      </c>
    </row>
    <row r="157" spans="1:5">
      <c r="A157" s="36">
        <v>41409</v>
      </c>
      <c r="B157" s="38" t="s">
        <v>117</v>
      </c>
      <c r="C157" s="33" t="s">
        <v>125</v>
      </c>
      <c r="D157" s="33" t="s">
        <v>130</v>
      </c>
      <c r="E157" s="37">
        <v>33</v>
      </c>
    </row>
    <row r="158" spans="1:5">
      <c r="A158" s="36">
        <v>41409</v>
      </c>
      <c r="B158" s="39" t="s">
        <v>117</v>
      </c>
      <c r="C158" s="33" t="s">
        <v>133</v>
      </c>
      <c r="D158" s="33" t="s">
        <v>129</v>
      </c>
      <c r="E158" s="37">
        <v>40</v>
      </c>
    </row>
    <row r="159" spans="1:5">
      <c r="A159" s="36">
        <v>41409</v>
      </c>
      <c r="B159" s="34" t="s">
        <v>119</v>
      </c>
      <c r="C159" s="33" t="s">
        <v>124</v>
      </c>
      <c r="D159" s="33" t="s">
        <v>130</v>
      </c>
      <c r="E159" s="37">
        <v>40</v>
      </c>
    </row>
    <row r="160" spans="1:5">
      <c r="A160" s="36">
        <v>41409</v>
      </c>
      <c r="B160" s="34" t="s">
        <v>118</v>
      </c>
      <c r="C160" s="33" t="s">
        <v>125</v>
      </c>
      <c r="D160" s="33" t="s">
        <v>129</v>
      </c>
      <c r="E160" s="37">
        <v>33</v>
      </c>
    </row>
    <row r="161" spans="1:5">
      <c r="A161" s="36">
        <v>41409</v>
      </c>
      <c r="B161" s="34" t="s">
        <v>118</v>
      </c>
      <c r="C161" s="33" t="s">
        <v>133</v>
      </c>
      <c r="D161" s="33" t="s">
        <v>129</v>
      </c>
      <c r="E161" s="37">
        <v>33</v>
      </c>
    </row>
    <row r="162" spans="1:5">
      <c r="A162" s="36">
        <v>41409</v>
      </c>
      <c r="B162" s="2" t="s">
        <v>132</v>
      </c>
      <c r="C162" s="33" t="s">
        <v>21</v>
      </c>
      <c r="D162" s="33" t="s">
        <v>129</v>
      </c>
      <c r="E162" s="37">
        <v>67</v>
      </c>
    </row>
    <row r="163" spans="1:5">
      <c r="A163" s="36">
        <v>41409</v>
      </c>
      <c r="B163" s="2" t="s">
        <v>132</v>
      </c>
      <c r="C163" s="33" t="s">
        <v>124</v>
      </c>
      <c r="D163" s="33" t="s">
        <v>130</v>
      </c>
      <c r="E163" s="37">
        <v>67</v>
      </c>
    </row>
    <row r="164" spans="1:5">
      <c r="A164" s="36">
        <v>41409</v>
      </c>
      <c r="B164" s="2" t="s">
        <v>117</v>
      </c>
      <c r="C164" s="33" t="s">
        <v>135</v>
      </c>
      <c r="D164" s="33" t="s">
        <v>130</v>
      </c>
      <c r="E164" s="37">
        <v>23</v>
      </c>
    </row>
    <row r="165" spans="1:5">
      <c r="A165" s="36">
        <v>41410</v>
      </c>
      <c r="B165" s="2" t="s">
        <v>116</v>
      </c>
      <c r="C165" s="33" t="s">
        <v>135</v>
      </c>
      <c r="D165" s="33" t="s">
        <v>129</v>
      </c>
      <c r="E165" s="37">
        <v>7</v>
      </c>
    </row>
    <row r="166" spans="1:5">
      <c r="A166" s="36">
        <v>41410</v>
      </c>
      <c r="B166" s="2" t="s">
        <v>116</v>
      </c>
      <c r="C166" s="33" t="s">
        <v>134</v>
      </c>
      <c r="D166" s="33" t="s">
        <v>129</v>
      </c>
      <c r="E166" s="37">
        <v>17</v>
      </c>
    </row>
    <row r="167" spans="1:5">
      <c r="A167" s="36">
        <v>41410</v>
      </c>
      <c r="B167" s="34" t="s">
        <v>118</v>
      </c>
      <c r="C167" s="33" t="s">
        <v>135</v>
      </c>
      <c r="D167" s="33" t="s">
        <v>130</v>
      </c>
      <c r="E167" s="37">
        <v>33</v>
      </c>
    </row>
    <row r="168" spans="1:5">
      <c r="A168" s="36">
        <v>41410</v>
      </c>
      <c r="B168" s="34" t="s">
        <v>118</v>
      </c>
      <c r="C168" s="33" t="s">
        <v>21</v>
      </c>
      <c r="D168" s="33" t="s">
        <v>130</v>
      </c>
      <c r="E168" s="37">
        <v>33</v>
      </c>
    </row>
    <row r="169" spans="1:5">
      <c r="A169" s="36">
        <v>41410</v>
      </c>
      <c r="B169" s="34" t="s">
        <v>119</v>
      </c>
      <c r="C169" s="33" t="s">
        <v>134</v>
      </c>
      <c r="D169" s="33" t="s">
        <v>129</v>
      </c>
      <c r="E169" s="37">
        <v>40</v>
      </c>
    </row>
    <row r="170" spans="1:5">
      <c r="A170" s="36">
        <v>41410</v>
      </c>
      <c r="B170" s="33" t="s">
        <v>117</v>
      </c>
      <c r="C170" s="33" t="s">
        <v>135</v>
      </c>
      <c r="D170" s="33" t="s">
        <v>129</v>
      </c>
      <c r="E170" s="37">
        <v>60</v>
      </c>
    </row>
    <row r="171" spans="1:5">
      <c r="A171" s="36">
        <v>41410</v>
      </c>
      <c r="B171" s="34" t="s">
        <v>118</v>
      </c>
      <c r="C171" s="33" t="s">
        <v>124</v>
      </c>
      <c r="D171" s="33" t="s">
        <v>129</v>
      </c>
      <c r="E171" s="37">
        <v>33</v>
      </c>
    </row>
    <row r="172" spans="1:5">
      <c r="A172" s="36">
        <v>41410</v>
      </c>
      <c r="B172" s="2" t="s">
        <v>132</v>
      </c>
      <c r="C172" s="33" t="s">
        <v>134</v>
      </c>
      <c r="D172" s="33" t="s">
        <v>129</v>
      </c>
      <c r="E172" s="37">
        <v>67</v>
      </c>
    </row>
    <row r="173" spans="1:5">
      <c r="A173" s="36">
        <v>41410</v>
      </c>
      <c r="B173" s="2" t="s">
        <v>119</v>
      </c>
      <c r="C173" s="33" t="s">
        <v>125</v>
      </c>
      <c r="D173" s="33" t="s">
        <v>130</v>
      </c>
      <c r="E173" s="37">
        <v>33</v>
      </c>
    </row>
    <row r="174" spans="1:5">
      <c r="A174" s="36">
        <v>41410</v>
      </c>
      <c r="B174" s="2" t="s">
        <v>117</v>
      </c>
      <c r="C174" s="33" t="s">
        <v>135</v>
      </c>
      <c r="D174" s="33" t="s">
        <v>129</v>
      </c>
      <c r="E174" s="37">
        <v>23</v>
      </c>
    </row>
    <row r="175" spans="1:5">
      <c r="A175" s="36">
        <v>41410</v>
      </c>
      <c r="B175" s="2" t="s">
        <v>116</v>
      </c>
      <c r="C175" s="33" t="s">
        <v>133</v>
      </c>
      <c r="D175" s="33" t="s">
        <v>129</v>
      </c>
      <c r="E175" s="37">
        <v>7</v>
      </c>
    </row>
    <row r="176" spans="1:5">
      <c r="A176" s="36">
        <v>41410</v>
      </c>
      <c r="B176" s="2" t="s">
        <v>116</v>
      </c>
      <c r="C176" s="33" t="s">
        <v>131</v>
      </c>
      <c r="D176" s="33" t="s">
        <v>130</v>
      </c>
      <c r="E176" s="37">
        <v>17</v>
      </c>
    </row>
    <row r="177" spans="1:5">
      <c r="A177" s="36">
        <v>41410</v>
      </c>
      <c r="B177" s="38" t="s">
        <v>117</v>
      </c>
      <c r="C177" s="33" t="s">
        <v>133</v>
      </c>
      <c r="D177" s="33" t="s">
        <v>129</v>
      </c>
      <c r="E177" s="37">
        <v>33</v>
      </c>
    </row>
    <row r="178" spans="1:5">
      <c r="A178" s="36">
        <v>41411</v>
      </c>
      <c r="B178" s="34" t="s">
        <v>118</v>
      </c>
      <c r="C178" s="33" t="s">
        <v>134</v>
      </c>
      <c r="D178" s="33" t="s">
        <v>129</v>
      </c>
      <c r="E178" s="37">
        <v>33</v>
      </c>
    </row>
    <row r="179" spans="1:5">
      <c r="A179" s="36">
        <v>41411</v>
      </c>
      <c r="B179" s="34" t="s">
        <v>118</v>
      </c>
      <c r="C179" s="33" t="s">
        <v>135</v>
      </c>
      <c r="D179" s="33" t="s">
        <v>129</v>
      </c>
      <c r="E179" s="37">
        <v>33</v>
      </c>
    </row>
    <row r="180" spans="1:5">
      <c r="A180" s="36">
        <v>41411</v>
      </c>
      <c r="B180" s="33" t="s">
        <v>117</v>
      </c>
      <c r="C180" s="33" t="s">
        <v>133</v>
      </c>
      <c r="D180" s="33" t="s">
        <v>130</v>
      </c>
      <c r="E180" s="37">
        <v>60</v>
      </c>
    </row>
    <row r="181" spans="1:5">
      <c r="A181" s="36">
        <v>41411</v>
      </c>
      <c r="B181" s="34" t="s">
        <v>118</v>
      </c>
      <c r="C181" s="33" t="s">
        <v>135</v>
      </c>
      <c r="D181" s="33" t="s">
        <v>130</v>
      </c>
      <c r="E181" s="37">
        <v>33</v>
      </c>
    </row>
    <row r="182" spans="1:5">
      <c r="A182" s="36">
        <v>41411</v>
      </c>
      <c r="B182" s="2" t="s">
        <v>132</v>
      </c>
      <c r="C182" s="33" t="s">
        <v>21</v>
      </c>
      <c r="D182" s="33" t="s">
        <v>130</v>
      </c>
      <c r="E182" s="37">
        <v>67</v>
      </c>
    </row>
    <row r="183" spans="1:5">
      <c r="A183" s="36">
        <v>41411</v>
      </c>
      <c r="B183" s="2" t="s">
        <v>119</v>
      </c>
      <c r="C183" s="33" t="s">
        <v>133</v>
      </c>
      <c r="D183" s="33" t="s">
        <v>130</v>
      </c>
      <c r="E183" s="37">
        <v>33</v>
      </c>
    </row>
    <row r="184" spans="1:5">
      <c r="A184" s="36">
        <v>41411</v>
      </c>
      <c r="B184" s="34" t="s">
        <v>118</v>
      </c>
      <c r="C184" s="33" t="s">
        <v>133</v>
      </c>
      <c r="D184" s="33" t="s">
        <v>129</v>
      </c>
      <c r="E184" s="37">
        <v>33</v>
      </c>
    </row>
    <row r="185" spans="1:5">
      <c r="A185" s="36">
        <v>41411</v>
      </c>
      <c r="B185" s="2" t="s">
        <v>116</v>
      </c>
      <c r="C185" s="33" t="s">
        <v>135</v>
      </c>
      <c r="D185" s="33" t="s">
        <v>129</v>
      </c>
      <c r="E185" s="37">
        <v>7</v>
      </c>
    </row>
    <row r="186" spans="1:5">
      <c r="A186" s="36">
        <v>41412</v>
      </c>
      <c r="B186" s="2" t="s">
        <v>116</v>
      </c>
      <c r="C186" s="33" t="s">
        <v>131</v>
      </c>
      <c r="D186" s="33" t="s">
        <v>129</v>
      </c>
      <c r="E186" s="37">
        <v>17</v>
      </c>
    </row>
    <row r="187" spans="1:5">
      <c r="A187" s="36">
        <v>41412</v>
      </c>
      <c r="B187" s="2" t="s">
        <v>116</v>
      </c>
      <c r="C187" s="33" t="s">
        <v>134</v>
      </c>
      <c r="D187" s="33" t="s">
        <v>129</v>
      </c>
      <c r="E187" s="37">
        <v>7</v>
      </c>
    </row>
    <row r="188" spans="1:5">
      <c r="A188" s="36">
        <v>41412</v>
      </c>
      <c r="B188" s="2" t="s">
        <v>116</v>
      </c>
      <c r="C188" s="33" t="s">
        <v>124</v>
      </c>
      <c r="D188" s="33" t="s">
        <v>130</v>
      </c>
      <c r="E188" s="37">
        <v>17</v>
      </c>
    </row>
    <row r="189" spans="1:5">
      <c r="A189" s="36">
        <v>41412</v>
      </c>
      <c r="B189" s="34" t="s">
        <v>118</v>
      </c>
      <c r="C189" s="33" t="s">
        <v>21</v>
      </c>
      <c r="D189" s="33" t="s">
        <v>129</v>
      </c>
      <c r="E189" s="37">
        <v>33</v>
      </c>
    </row>
    <row r="190" spans="1:5">
      <c r="A190" s="36">
        <v>41412</v>
      </c>
      <c r="B190" s="2" t="s">
        <v>116</v>
      </c>
      <c r="C190" s="33" t="s">
        <v>135</v>
      </c>
      <c r="D190" s="33" t="s">
        <v>129</v>
      </c>
      <c r="E190" s="37">
        <v>7</v>
      </c>
    </row>
    <row r="191" spans="1:5">
      <c r="A191" s="36">
        <v>41412</v>
      </c>
      <c r="B191" s="2" t="s">
        <v>116</v>
      </c>
      <c r="C191" s="33" t="s">
        <v>131</v>
      </c>
      <c r="D191" s="33" t="s">
        <v>130</v>
      </c>
      <c r="E191" s="37">
        <v>7</v>
      </c>
    </row>
    <row r="192" spans="1:5">
      <c r="A192" s="36">
        <v>41412</v>
      </c>
      <c r="B192" s="34" t="s">
        <v>118</v>
      </c>
      <c r="C192" s="33" t="s">
        <v>21</v>
      </c>
      <c r="D192" s="33" t="s">
        <v>130</v>
      </c>
      <c r="E192" s="37">
        <v>33</v>
      </c>
    </row>
    <row r="193" spans="1:5">
      <c r="A193" s="36">
        <v>41413</v>
      </c>
      <c r="B193" s="2" t="s">
        <v>116</v>
      </c>
      <c r="C193" s="33" t="s">
        <v>135</v>
      </c>
      <c r="D193" s="33" t="s">
        <v>130</v>
      </c>
      <c r="E193" s="37">
        <v>7</v>
      </c>
    </row>
    <row r="194" spans="1:5">
      <c r="A194" s="36">
        <v>41414</v>
      </c>
      <c r="B194" s="2" t="s">
        <v>116</v>
      </c>
      <c r="C194" s="33" t="s">
        <v>125</v>
      </c>
      <c r="D194" s="33" t="s">
        <v>130</v>
      </c>
      <c r="E194" s="37">
        <v>7</v>
      </c>
    </row>
    <row r="195" spans="1:5">
      <c r="A195" s="36">
        <v>41414</v>
      </c>
      <c r="B195" s="34" t="s">
        <v>118</v>
      </c>
      <c r="C195" s="33" t="s">
        <v>135</v>
      </c>
      <c r="D195" s="33" t="s">
        <v>130</v>
      </c>
      <c r="E195" s="37">
        <v>33</v>
      </c>
    </row>
    <row r="196" spans="1:5">
      <c r="A196" s="36">
        <v>41414</v>
      </c>
      <c r="B196" s="2" t="s">
        <v>116</v>
      </c>
      <c r="C196" s="33" t="s">
        <v>133</v>
      </c>
      <c r="D196" s="33" t="s">
        <v>130</v>
      </c>
      <c r="E196" s="37">
        <v>7</v>
      </c>
    </row>
    <row r="197" spans="1:5">
      <c r="A197" s="36">
        <v>41415</v>
      </c>
      <c r="B197" s="2" t="s">
        <v>116</v>
      </c>
      <c r="C197" s="33" t="s">
        <v>134</v>
      </c>
      <c r="D197" s="33" t="s">
        <v>130</v>
      </c>
      <c r="E197" s="37">
        <v>7</v>
      </c>
    </row>
    <row r="198" spans="1:5">
      <c r="A198" s="36">
        <v>41415</v>
      </c>
      <c r="B198" s="2" t="s">
        <v>116</v>
      </c>
      <c r="C198" s="33" t="s">
        <v>133</v>
      </c>
      <c r="D198" s="33" t="s">
        <v>129</v>
      </c>
      <c r="E198" s="37">
        <v>7</v>
      </c>
    </row>
    <row r="199" spans="1:5">
      <c r="A199" s="36">
        <v>41415</v>
      </c>
      <c r="B199" s="34" t="s">
        <v>118</v>
      </c>
      <c r="C199" s="33" t="s">
        <v>133</v>
      </c>
      <c r="D199" s="33" t="s">
        <v>129</v>
      </c>
      <c r="E199" s="37">
        <v>33</v>
      </c>
    </row>
    <row r="200" spans="1:5">
      <c r="A200" s="36">
        <v>41416</v>
      </c>
      <c r="B200" s="34" t="s">
        <v>119</v>
      </c>
      <c r="C200" s="33" t="s">
        <v>21</v>
      </c>
      <c r="D200" s="33" t="s">
        <v>129</v>
      </c>
      <c r="E200" s="37">
        <v>40</v>
      </c>
    </row>
    <row r="201" spans="1:5">
      <c r="A201" s="36">
        <v>41417</v>
      </c>
      <c r="B201" s="34" t="s">
        <v>118</v>
      </c>
      <c r="C201" s="33" t="s">
        <v>21</v>
      </c>
      <c r="D201" s="33" t="s">
        <v>130</v>
      </c>
      <c r="E201" s="37">
        <v>33</v>
      </c>
    </row>
    <row r="202" spans="1:5">
      <c r="A202" s="36">
        <v>41417</v>
      </c>
      <c r="B202" s="34" t="s">
        <v>119</v>
      </c>
      <c r="C202" s="33" t="s">
        <v>125</v>
      </c>
      <c r="D202" s="33" t="s">
        <v>129</v>
      </c>
      <c r="E202" s="37">
        <v>40</v>
      </c>
    </row>
    <row r="203" spans="1:5">
      <c r="A203" s="36">
        <v>41418</v>
      </c>
      <c r="B203" s="2" t="s">
        <v>119</v>
      </c>
      <c r="C203" s="33" t="s">
        <v>133</v>
      </c>
      <c r="D203" s="33" t="s">
        <v>130</v>
      </c>
      <c r="E203" s="37">
        <v>33</v>
      </c>
    </row>
    <row r="204" spans="1:5">
      <c r="A204" s="36">
        <v>41418</v>
      </c>
      <c r="B204" s="2" t="s">
        <v>119</v>
      </c>
      <c r="C204" s="33" t="s">
        <v>133</v>
      </c>
      <c r="D204" s="33" t="s">
        <v>129</v>
      </c>
      <c r="E204" s="37">
        <v>33</v>
      </c>
    </row>
    <row r="205" spans="1:5">
      <c r="A205" s="36">
        <v>41418</v>
      </c>
      <c r="B205" s="2" t="s">
        <v>119</v>
      </c>
      <c r="C205" s="33" t="s">
        <v>21</v>
      </c>
      <c r="D205" s="33" t="s">
        <v>129</v>
      </c>
      <c r="E205" s="37">
        <v>33</v>
      </c>
    </row>
    <row r="206" spans="1:5">
      <c r="A206" s="36">
        <v>41418</v>
      </c>
      <c r="B206" s="33" t="s">
        <v>117</v>
      </c>
      <c r="C206" s="33" t="s">
        <v>131</v>
      </c>
      <c r="D206" s="33" t="s">
        <v>130</v>
      </c>
      <c r="E206" s="37">
        <v>60</v>
      </c>
    </row>
    <row r="207" spans="1:5">
      <c r="A207" s="36">
        <v>41418</v>
      </c>
      <c r="B207" s="34" t="s">
        <v>118</v>
      </c>
      <c r="C207" s="33" t="s">
        <v>124</v>
      </c>
      <c r="D207" s="33" t="s">
        <v>129</v>
      </c>
      <c r="E207" s="37">
        <v>33</v>
      </c>
    </row>
    <row r="208" spans="1:5">
      <c r="A208" s="36">
        <v>41418</v>
      </c>
      <c r="B208" s="33" t="s">
        <v>117</v>
      </c>
      <c r="C208" s="33" t="s">
        <v>21</v>
      </c>
      <c r="D208" s="33" t="s">
        <v>130</v>
      </c>
      <c r="E208" s="37">
        <v>60</v>
      </c>
    </row>
    <row r="209" spans="1:5">
      <c r="A209" s="36">
        <v>41419</v>
      </c>
      <c r="B209" s="2" t="s">
        <v>116</v>
      </c>
      <c r="C209" s="33" t="s">
        <v>131</v>
      </c>
      <c r="D209" s="33" t="s">
        <v>130</v>
      </c>
      <c r="E209" s="37">
        <v>17</v>
      </c>
    </row>
    <row r="210" spans="1:5">
      <c r="A210" s="36">
        <v>41419</v>
      </c>
      <c r="B210" s="34" t="s">
        <v>118</v>
      </c>
      <c r="C210" s="33" t="s">
        <v>133</v>
      </c>
      <c r="D210" s="33" t="s">
        <v>130</v>
      </c>
      <c r="E210" s="37">
        <v>33</v>
      </c>
    </row>
    <row r="211" spans="1:5">
      <c r="A211" s="36">
        <v>41419</v>
      </c>
      <c r="B211" s="33" t="s">
        <v>117</v>
      </c>
      <c r="C211" s="33" t="s">
        <v>135</v>
      </c>
      <c r="D211" s="33" t="s">
        <v>129</v>
      </c>
      <c r="E211" s="37">
        <v>60</v>
      </c>
    </row>
    <row r="212" spans="1:5">
      <c r="A212" s="36">
        <v>41419</v>
      </c>
      <c r="B212" s="33" t="s">
        <v>117</v>
      </c>
      <c r="C212" s="33" t="s">
        <v>131</v>
      </c>
      <c r="D212" s="33" t="s">
        <v>129</v>
      </c>
      <c r="E212" s="37">
        <v>60</v>
      </c>
    </row>
    <row r="213" spans="1:5">
      <c r="A213" s="36">
        <v>41420</v>
      </c>
      <c r="B213" s="2" t="s">
        <v>116</v>
      </c>
      <c r="C213" s="33" t="s">
        <v>133</v>
      </c>
      <c r="D213" s="33" t="s">
        <v>129</v>
      </c>
      <c r="E213" s="37">
        <v>17</v>
      </c>
    </row>
    <row r="214" spans="1:5">
      <c r="A214" s="36">
        <v>41420</v>
      </c>
      <c r="B214" s="2" t="s">
        <v>116</v>
      </c>
      <c r="C214" s="33" t="s">
        <v>21</v>
      </c>
      <c r="D214" s="33" t="s">
        <v>129</v>
      </c>
      <c r="E214" s="37">
        <v>17</v>
      </c>
    </row>
    <row r="215" spans="1:5">
      <c r="A215" s="36">
        <v>41420</v>
      </c>
      <c r="B215" s="34" t="s">
        <v>118</v>
      </c>
      <c r="C215" s="33" t="s">
        <v>135</v>
      </c>
      <c r="D215" s="33" t="s">
        <v>130</v>
      </c>
      <c r="E215" s="37">
        <v>33</v>
      </c>
    </row>
    <row r="216" spans="1:5">
      <c r="A216" s="36">
        <v>41421</v>
      </c>
      <c r="B216" s="2" t="s">
        <v>132</v>
      </c>
      <c r="C216" s="33" t="s">
        <v>133</v>
      </c>
      <c r="D216" s="33" t="s">
        <v>129</v>
      </c>
      <c r="E216" s="37">
        <v>67</v>
      </c>
    </row>
    <row r="217" spans="1:5">
      <c r="A217" s="36">
        <v>41421</v>
      </c>
      <c r="B217" s="33" t="s">
        <v>117</v>
      </c>
      <c r="C217" s="33" t="s">
        <v>124</v>
      </c>
      <c r="D217" s="33" t="s">
        <v>130</v>
      </c>
      <c r="E217" s="37">
        <v>60</v>
      </c>
    </row>
    <row r="218" spans="1:5">
      <c r="A218" s="36">
        <v>41421</v>
      </c>
      <c r="B218" s="33" t="s">
        <v>117</v>
      </c>
      <c r="C218" s="33" t="s">
        <v>133</v>
      </c>
      <c r="D218" s="33" t="s">
        <v>129</v>
      </c>
      <c r="E218" s="37">
        <v>60</v>
      </c>
    </row>
    <row r="219" spans="1:5">
      <c r="A219" s="36">
        <v>41421</v>
      </c>
      <c r="B219" s="2" t="s">
        <v>132</v>
      </c>
      <c r="C219" s="33" t="s">
        <v>133</v>
      </c>
      <c r="D219" s="33" t="s">
        <v>129</v>
      </c>
      <c r="E219" s="37">
        <v>67</v>
      </c>
    </row>
    <row r="220" spans="1:5">
      <c r="A220" s="36">
        <v>41422</v>
      </c>
      <c r="B220" s="34" t="s">
        <v>118</v>
      </c>
      <c r="C220" s="33" t="s">
        <v>135</v>
      </c>
      <c r="D220" s="33" t="s">
        <v>129</v>
      </c>
      <c r="E220" s="37">
        <v>33</v>
      </c>
    </row>
    <row r="221" spans="1:5">
      <c r="A221" s="36">
        <v>41422</v>
      </c>
      <c r="B221" s="2" t="s">
        <v>119</v>
      </c>
      <c r="C221" s="33" t="s">
        <v>134</v>
      </c>
      <c r="D221" s="33" t="s">
        <v>129</v>
      </c>
      <c r="E221" s="37">
        <v>33</v>
      </c>
    </row>
    <row r="222" spans="1:5">
      <c r="A222" s="36">
        <v>41422</v>
      </c>
      <c r="B222" s="34" t="s">
        <v>118</v>
      </c>
      <c r="C222" s="33" t="s">
        <v>133</v>
      </c>
      <c r="D222" s="33" t="s">
        <v>129</v>
      </c>
      <c r="E222" s="37">
        <v>33</v>
      </c>
    </row>
    <row r="223" spans="1:5">
      <c r="A223" s="36">
        <v>41422</v>
      </c>
      <c r="B223" s="2" t="s">
        <v>119</v>
      </c>
      <c r="C223" s="33" t="s">
        <v>21</v>
      </c>
      <c r="D223" s="33" t="s">
        <v>129</v>
      </c>
      <c r="E223" s="37">
        <v>33</v>
      </c>
    </row>
    <row r="224" spans="1:5">
      <c r="A224" s="36">
        <v>41422</v>
      </c>
      <c r="B224" s="2" t="s">
        <v>119</v>
      </c>
      <c r="C224" s="33" t="s">
        <v>131</v>
      </c>
      <c r="D224" s="33" t="s">
        <v>129</v>
      </c>
      <c r="E224" s="37">
        <v>33</v>
      </c>
    </row>
    <row r="225" spans="1:5">
      <c r="A225" s="36">
        <v>41422</v>
      </c>
      <c r="B225" s="34" t="s">
        <v>118</v>
      </c>
      <c r="C225" s="33" t="s">
        <v>124</v>
      </c>
      <c r="D225" s="33" t="s">
        <v>129</v>
      </c>
      <c r="E225" s="37">
        <v>33</v>
      </c>
    </row>
    <row r="226" spans="1:5">
      <c r="A226" s="36">
        <v>41422</v>
      </c>
      <c r="B226" s="39" t="s">
        <v>117</v>
      </c>
      <c r="C226" s="33" t="s">
        <v>134</v>
      </c>
      <c r="D226" s="33" t="s">
        <v>129</v>
      </c>
      <c r="E226" s="37">
        <v>40</v>
      </c>
    </row>
    <row r="227" spans="1:5">
      <c r="A227" s="36">
        <v>41423</v>
      </c>
      <c r="B227" s="34" t="s">
        <v>118</v>
      </c>
      <c r="C227" s="33" t="s">
        <v>124</v>
      </c>
      <c r="D227" s="33" t="s">
        <v>129</v>
      </c>
      <c r="E227" s="37">
        <v>33</v>
      </c>
    </row>
    <row r="228" spans="1:5">
      <c r="A228" s="36">
        <v>41423</v>
      </c>
      <c r="B228" s="34" t="s">
        <v>118</v>
      </c>
      <c r="C228" s="33" t="s">
        <v>131</v>
      </c>
      <c r="D228" s="33" t="s">
        <v>129</v>
      </c>
      <c r="E228" s="37">
        <v>33</v>
      </c>
    </row>
    <row r="229" spans="1:5">
      <c r="A229" s="36">
        <v>41424</v>
      </c>
      <c r="B229" s="39" t="s">
        <v>117</v>
      </c>
      <c r="C229" s="33" t="s">
        <v>131</v>
      </c>
      <c r="D229" s="33" t="s">
        <v>129</v>
      </c>
      <c r="E229" s="37">
        <v>40</v>
      </c>
    </row>
    <row r="230" spans="1:5">
      <c r="A230" s="36">
        <v>41424</v>
      </c>
      <c r="B230" s="34" t="s">
        <v>118</v>
      </c>
      <c r="C230" s="33" t="s">
        <v>135</v>
      </c>
      <c r="D230" s="33" t="s">
        <v>130</v>
      </c>
      <c r="E230" s="37">
        <v>33</v>
      </c>
    </row>
    <row r="231" spans="1:5">
      <c r="A231" s="36">
        <v>41424</v>
      </c>
      <c r="B231" s="34" t="s">
        <v>118</v>
      </c>
      <c r="C231" s="33" t="s">
        <v>133</v>
      </c>
      <c r="D231" s="33" t="s">
        <v>130</v>
      </c>
      <c r="E231" s="37">
        <v>33</v>
      </c>
    </row>
    <row r="232" spans="1:5">
      <c r="A232" s="36">
        <v>41424</v>
      </c>
      <c r="B232" s="2" t="s">
        <v>116</v>
      </c>
      <c r="C232" s="33" t="s">
        <v>124</v>
      </c>
      <c r="D232" s="33" t="s">
        <v>130</v>
      </c>
      <c r="E232" s="37">
        <v>17</v>
      </c>
    </row>
    <row r="233" spans="1:5">
      <c r="A233" s="36">
        <v>41424</v>
      </c>
      <c r="B233" s="34" t="s">
        <v>118</v>
      </c>
      <c r="C233" s="33" t="s">
        <v>133</v>
      </c>
      <c r="D233" s="33" t="s">
        <v>129</v>
      </c>
      <c r="E233" s="37">
        <v>33</v>
      </c>
    </row>
    <row r="234" spans="1:5">
      <c r="A234" s="36">
        <v>41425</v>
      </c>
      <c r="B234" s="39" t="s">
        <v>117</v>
      </c>
      <c r="C234" s="33" t="s">
        <v>124</v>
      </c>
      <c r="D234" s="33" t="s">
        <v>129</v>
      </c>
      <c r="E234" s="37">
        <v>40</v>
      </c>
    </row>
    <row r="235" spans="1:5">
      <c r="A235" s="36">
        <v>41425</v>
      </c>
      <c r="B235" s="39" t="s">
        <v>117</v>
      </c>
      <c r="C235" s="33" t="s">
        <v>131</v>
      </c>
      <c r="D235" s="33" t="s">
        <v>130</v>
      </c>
      <c r="E235" s="37">
        <v>40</v>
      </c>
    </row>
    <row r="236" spans="1:5">
      <c r="A236" s="36">
        <v>41425</v>
      </c>
      <c r="B236" s="34" t="s">
        <v>118</v>
      </c>
      <c r="C236" s="33" t="s">
        <v>21</v>
      </c>
      <c r="D236" s="33" t="s">
        <v>129</v>
      </c>
      <c r="E236" s="37">
        <v>33</v>
      </c>
    </row>
    <row r="237" spans="1:5">
      <c r="A237" s="36">
        <v>41425</v>
      </c>
      <c r="B237" s="39" t="s">
        <v>117</v>
      </c>
      <c r="C237" s="33" t="s">
        <v>21</v>
      </c>
      <c r="D237" s="33" t="s">
        <v>129</v>
      </c>
      <c r="E237" s="37">
        <v>40</v>
      </c>
    </row>
    <row r="238" spans="1:5">
      <c r="A238" s="36">
        <v>41425</v>
      </c>
      <c r="B238" s="2" t="s">
        <v>116</v>
      </c>
      <c r="C238" s="33" t="s">
        <v>135</v>
      </c>
      <c r="D238" s="33" t="s">
        <v>129</v>
      </c>
      <c r="E238" s="37">
        <v>17</v>
      </c>
    </row>
    <row r="239" spans="1:5">
      <c r="A239" s="36">
        <v>41425</v>
      </c>
      <c r="B239" s="2" t="s">
        <v>116</v>
      </c>
      <c r="C239" s="33" t="s">
        <v>133</v>
      </c>
      <c r="D239" s="33" t="s">
        <v>130</v>
      </c>
      <c r="E239" s="37">
        <v>17</v>
      </c>
    </row>
    <row r="240" spans="1:5">
      <c r="A240" s="36">
        <v>41425</v>
      </c>
      <c r="B240" s="39" t="s">
        <v>117</v>
      </c>
      <c r="C240" s="33" t="s">
        <v>134</v>
      </c>
      <c r="D240" s="33" t="s">
        <v>129</v>
      </c>
      <c r="E240" s="37">
        <v>40</v>
      </c>
    </row>
    <row r="241" spans="1:5">
      <c r="A241" s="36">
        <v>41425</v>
      </c>
      <c r="B241" s="39" t="s">
        <v>117</v>
      </c>
      <c r="C241" s="33" t="s">
        <v>133</v>
      </c>
      <c r="D241" s="33" t="s">
        <v>130</v>
      </c>
      <c r="E241" s="37">
        <v>40</v>
      </c>
    </row>
  </sheetData>
  <mergeCells count="1">
    <mergeCell ref="A14:E1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SUMIF</vt:lpstr>
      <vt:lpstr>SUMIF-1</vt:lpstr>
      <vt:lpstr>SUMIFS Dataset</vt:lpstr>
      <vt:lpstr>COUNT</vt:lpstr>
      <vt:lpstr>COUNTIF-COUNTIFS</vt:lpstr>
      <vt:lpstr>EXERCISE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Amit Ghade</cp:lastModifiedBy>
  <dcterms:created xsi:type="dcterms:W3CDTF">2015-06-05T18:17:20Z</dcterms:created>
  <dcterms:modified xsi:type="dcterms:W3CDTF">2026-07-12T01:50:58Z</dcterms:modified>
</cp:coreProperties>
</file>