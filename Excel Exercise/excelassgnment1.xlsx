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D262D92-CF06-44F8-BF9E-2E7C8BD44A4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Task-1" sheetId="1" r:id="rId1"/>
    <sheet name="Task-2" sheetId="2" r:id="rId2"/>
    <sheet name="Task-3" sheetId="3" r:id="rId3"/>
    <sheet name="Task-4" sheetId="4" r:id="rId4"/>
    <sheet name="Task-5" sheetId="5" r:id="rId5"/>
  </sheets>
  <definedNames>
    <definedName name="_xlnm._FilterDatabase" localSheetId="0" hidden="1">'Task-1'!$A$1:$F$10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2" i="4"/>
  <c r="E12" i="4" s="1"/>
  <c r="C12" i="4"/>
  <c r="B12" i="4"/>
  <c r="D3" i="4"/>
  <c r="F3" i="4" s="1"/>
  <c r="D4" i="4"/>
  <c r="D5" i="4"/>
  <c r="F5" i="4" s="1"/>
  <c r="D6" i="4"/>
  <c r="F6" i="4" s="1"/>
  <c r="D7" i="4"/>
  <c r="F7" i="4" s="1"/>
  <c r="D8" i="4"/>
  <c r="F8" i="4" s="1"/>
  <c r="D9" i="4"/>
  <c r="F9" i="4" s="1"/>
  <c r="D10" i="4"/>
  <c r="F10" i="4" s="1"/>
  <c r="D11" i="4"/>
  <c r="F11" i="4" s="1"/>
  <c r="D2" i="4"/>
  <c r="F2" i="4" s="1"/>
  <c r="G3" i="3"/>
  <c r="G4" i="3"/>
  <c r="G5" i="3"/>
  <c r="G6" i="3"/>
  <c r="G7" i="3"/>
  <c r="G8" i="3"/>
  <c r="G9" i="3"/>
  <c r="G10" i="3"/>
  <c r="G2" i="3"/>
  <c r="E12" i="3"/>
  <c r="F3" i="3"/>
  <c r="F4" i="3"/>
  <c r="F5" i="3"/>
  <c r="F6" i="3"/>
  <c r="F7" i="3"/>
  <c r="F8" i="3"/>
  <c r="F9" i="3"/>
  <c r="F10" i="3"/>
  <c r="F2" i="3"/>
  <c r="E3" i="3"/>
  <c r="E4" i="3"/>
  <c r="E5" i="3"/>
  <c r="E6" i="3"/>
  <c r="E7" i="3"/>
  <c r="E8" i="3"/>
  <c r="E9" i="3"/>
  <c r="E10" i="3"/>
  <c r="E2" i="3"/>
  <c r="F12" i="2"/>
  <c r="F3" i="2"/>
  <c r="F4" i="2"/>
  <c r="F5" i="2"/>
  <c r="F6" i="2"/>
  <c r="F7" i="2"/>
  <c r="F8" i="2"/>
  <c r="F9" i="2"/>
  <c r="F10" i="2"/>
  <c r="F11" i="2"/>
  <c r="F2" i="2"/>
  <c r="E12" i="2"/>
  <c r="D12" i="2"/>
  <c r="F3" i="1"/>
  <c r="F4" i="1"/>
  <c r="F5" i="1"/>
  <c r="F6" i="1"/>
  <c r="F7" i="1"/>
  <c r="F8" i="1"/>
  <c r="F9" i="1"/>
  <c r="F10" i="1"/>
  <c r="F2" i="1"/>
  <c r="F4" i="4" l="1"/>
  <c r="D12" i="4"/>
</calcChain>
</file>

<file path=xl/sharedStrings.xml><?xml version="1.0" encoding="utf-8"?>
<sst xmlns="http://schemas.openxmlformats.org/spreadsheetml/2006/main" count="130" uniqueCount="107">
  <si>
    <t xml:space="preserve">Student ID </t>
  </si>
  <si>
    <t xml:space="preserve"> Name         </t>
  </si>
  <si>
    <t xml:space="preserve"> Math Score </t>
  </si>
  <si>
    <t xml:space="preserve"> Science Score </t>
  </si>
  <si>
    <t xml:space="preserve"> English Score </t>
  </si>
  <si>
    <t xml:space="preserve"> John Doe       </t>
  </si>
  <si>
    <t xml:space="preserve"> Jane Smith     </t>
  </si>
  <si>
    <t xml:space="preserve"> David Brown    </t>
  </si>
  <si>
    <t xml:space="preserve"> Emily Johnson  </t>
  </si>
  <si>
    <t xml:space="preserve"> Michael Lee    </t>
  </si>
  <si>
    <t xml:space="preserve"> Sarah Wang     </t>
  </si>
  <si>
    <t xml:space="preserve"> Daniel Kim     </t>
  </si>
  <si>
    <t xml:space="preserve"> Jessica Liu    </t>
  </si>
  <si>
    <t xml:space="preserve"> Ethan Chen     </t>
  </si>
  <si>
    <t>1. Apply conditional formatting to highlight students with an average score above 85.</t>
  </si>
  <si>
    <t>2. Sort the student data based on their Math Score in descending order.</t>
  </si>
  <si>
    <t>3. Format the scores to one decimal place.</t>
  </si>
  <si>
    <t>Product ID</t>
  </si>
  <si>
    <t>Product Name</t>
  </si>
  <si>
    <t>Category</t>
  </si>
  <si>
    <t>Price</t>
  </si>
  <si>
    <t>Quantity</t>
  </si>
  <si>
    <t>Laptop</t>
  </si>
  <si>
    <t>Electronics</t>
  </si>
  <si>
    <t>T-shirt</t>
  </si>
  <si>
    <t>Clothing</t>
  </si>
  <si>
    <t>Smartphone</t>
  </si>
  <si>
    <t>Headphones</t>
  </si>
  <si>
    <t>Jeans</t>
  </si>
  <si>
    <t>Tablet</t>
  </si>
  <si>
    <t>Dress Shirt</t>
  </si>
  <si>
    <t>Camera</t>
  </si>
  <si>
    <t>Sneakers</t>
  </si>
  <si>
    <t>Smart Watch</t>
  </si>
  <si>
    <t>Task :</t>
  </si>
  <si>
    <t>1. Create a table to manage product inventory with columns for Product ID, Product Name, Category, Price, and Quantity.</t>
  </si>
  <si>
    <t>2. Calculate the total value of each product (Price * Quantity).</t>
  </si>
  <si>
    <t>3. Use data validation to create a drop-down list for selecting categories.</t>
  </si>
  <si>
    <t>4. Apply conditional formatting to highlight products with a price above $500.</t>
  </si>
  <si>
    <t>5. Insert a column chart to visualize the quantity of each product</t>
  </si>
  <si>
    <t>1. Calculate the total sales for each month using the SUM function.</t>
  </si>
  <si>
    <t>2. Calculate the average sales across all three products for each month using the AVERAGE function.</t>
  </si>
  <si>
    <t>3. Use COUNTIF function to count the number of months where Sales A exceeded 1000.</t>
  </si>
  <si>
    <t>4. Use MAX function to find the highest sales value among all products for each month.</t>
  </si>
  <si>
    <t>5. Create a line chart to visualize the trend of Sales A, Sales B, and Sales Cover the three months.</t>
  </si>
  <si>
    <t>Month</t>
  </si>
  <si>
    <t>Sales A</t>
  </si>
  <si>
    <t>Sales B</t>
  </si>
  <si>
    <t>Sales C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</si>
  <si>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</si>
  <si>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</si>
  <si>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</si>
  <si>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</si>
  <si>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</si>
  <si>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</si>
  <si>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</si>
  <si>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</si>
  <si>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</si>
  <si>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1. Calculate the profit for each product using a formula (Revenue - Cost).</t>
  </si>
  <si>
    <t>2. Calculate the total cost and total revenue using the SUM function.</t>
  </si>
  <si>
    <t>3. Use IF function to categorize each product as "Profitable" if Profit &gt; 0, otherwise "Not Profitable".</t>
  </si>
  <si>
    <t>4. Create a pie chart to represent the percentage distribution of Profitable and Not Profitable products.</t>
  </si>
  <si>
    <t>5. Format the financial statement with currency and percentage formats.</t>
  </si>
  <si>
    <t>Item</t>
  </si>
  <si>
    <t>Cost</t>
  </si>
  <si>
    <t>Revenue</t>
  </si>
  <si>
    <t>Profit</t>
  </si>
  <si>
    <t>Product D</t>
  </si>
  <si>
    <t>Product E</t>
  </si>
  <si>
    <t>Product F</t>
  </si>
  <si>
    <t>Product G</t>
  </si>
  <si>
    <t>Product H</t>
  </si>
  <si>
    <t>Product I</t>
  </si>
  <si>
    <t>Product J</t>
  </si>
  <si>
    <t>Product K</t>
  </si>
  <si>
    <t>Product L</t>
  </si>
  <si>
    <t>Product M</t>
  </si>
  <si>
    <t>1. Apply conditional formatting to highlight employees with a salary above $60000.</t>
  </si>
  <si>
    <t>2. Create a drop-down list for selecting departments using data validation.</t>
  </si>
  <si>
    <t>3. Use VLOOKUP function to retrieve the Department of Employee ID 2.</t>
  </si>
  <si>
    <t>4. Calculate the number of years each employee has been with the company using DATEDIF function.</t>
  </si>
  <si>
    <t>5. Create a PivotTable to summarize total salary by department.</t>
  </si>
  <si>
    <t>Employee ID</t>
  </si>
  <si>
    <t>Employee Name</t>
  </si>
  <si>
    <t>Department</t>
  </si>
  <si>
    <t>Salary</t>
  </si>
  <si>
    <t>Hire Date</t>
  </si>
  <si>
    <t>Emily|Johnson</t>
  </si>
  <si>
    <t>HR</t>
  </si>
  <si>
    <t>Michael|Lee</t>
  </si>
  <si>
    <t>Sales</t>
  </si>
  <si>
    <t>Sarah|Wang</t>
  </si>
  <si>
    <t>Finance</t>
  </si>
  <si>
    <t>Daniel|Kim</t>
  </si>
  <si>
    <t>Jessica|Liu</t>
  </si>
  <si>
    <t>Ethan|Chen</t>
  </si>
  <si>
    <t>Sophia|Brown</t>
  </si>
  <si>
    <t>Avg Score</t>
  </si>
  <si>
    <t>done</t>
  </si>
  <si>
    <t>Total</t>
  </si>
  <si>
    <t>Total Price</t>
  </si>
  <si>
    <t>Total_Sales</t>
  </si>
  <si>
    <t>Average Sales</t>
  </si>
  <si>
    <t xml:space="preserve">Total Months Where Sales A exceeded 1000 </t>
  </si>
  <si>
    <t>Monthwise_Highest_Sales_Value</t>
  </si>
  <si>
    <t>Profit Status</t>
  </si>
  <si>
    <t>Profit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</si>
</sst>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 [$₹-439]* #,##0.00_ ;_ [$₹-439]* \-#,##0.00_ ;_ [$₹-439]* &quot;-&quot;??_ ;_ @_ "/>
  </numFmts>
  <fonts count="6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B05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/>
    <xf numFmtId="0" fontId="0" fillId="0" borderId="2" xfId="0" applyBorder="1"/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0" fillId="0" borderId="3" xfId="0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5" xfId="0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" fontId="0" fillId="0" borderId="0" xfId="0" applyNumberFormat="1"/>
    <xf numFmtId="0" fontId="2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left" vertical="top" wrapText="1"/>
    </xf>
    <xf numFmtId="0" fontId="2" fillId="0" borderId="10" xfId="0" applyFont="1" applyFill="1" applyBorder="1"/>
    <xf numFmtId="0" fontId="2" fillId="0" borderId="3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9" fontId="0" fillId="0" borderId="3" xfId="1" applyFont="1" applyBorder="1"/>
    <xf numFmtId="165" fontId="0" fillId="0" borderId="3" xfId="0" applyNumberFormat="1" applyBorder="1"/>
    <xf numFmtId="9" fontId="2" fillId="0" borderId="1" xfId="0" applyNumberFormat="1" applyFont="1" applyBorder="1"/>
    <xf numFmtId="165" fontId="2" fillId="0" borderId="3" xfId="0" applyNumberFormat="1" applyFont="1" applyBorder="1"/>
  </cellXfs>
  <cellStyles count="2">
    <cellStyle name="Normal" xfId="0" builtinId="0"/>
    <cellStyle name="Percent" xfId="1" builtinId="5"/>
  </cellStyles>
  <dxfs count="2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A</a:t>
            </a:r>
            <a:endParaRPr lang="en-US"/>
          </a:p>
        </c:rich>
      </c:tx>
      <c:overlay val="0"/>
      <c:spPr>
        <a:noFill/>
        <a:ln>
          <a:gradFill>
            <a:gsLst>
              <a:gs pos="32856">
                <a:schemeClr val="tx1"/>
              </a:gs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401978598828993"/>
          <c:y val="0.20848791455874088"/>
          <c:w val="0.77469816272965875"/>
          <c:h val="0.5374464996259953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'Task-3'!$A$2:$A$10</c15:sqref>
                  </c15:fullRef>
                </c:ext>
              </c:extLst>
              <c:f>'Task-3'!$A$2:$A$4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'Task-3'!$B$2:$B$10</c15:sqref>
                  </c15:fullRef>
                </c:ext>
              </c:extLst>
              <c:f>'Task-3'!$B$2:$B$4</c:f>
              <c:numCache>
                <c:formatCode>General</c:formatCode>
                <c:ptCount val="3"/>
                <c:pt idx="0">
                  <c:v>1200</c:v>
                </c:pt>
                <c:pt idx="1">
                  <c:v>900</c:v>
                </c:pt>
                <c:pt idx="2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81-4652-A583-91E31E2D8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9241856"/>
        <c:axId val="2004832784"/>
      </c:lineChart>
      <c:catAx>
        <c:axId val="2059241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solidFill>
                <a:schemeClr val="tx1">
                  <a:lumMod val="65000"/>
                  <a:lumOff val="35000"/>
                </a:schemeClr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832784"/>
        <c:crosses val="autoZero"/>
        <c:auto val="1"/>
        <c:lblAlgn val="ctr"/>
        <c:lblOffset val="100"/>
        <c:noMultiLvlLbl val="0"/>
      </c:catAx>
      <c:valAx>
        <c:axId val="200483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solidFill>
                <a:schemeClr val="tx1">
                  <a:lumMod val="65000"/>
                  <a:lumOff val="35000"/>
                </a:schemeClr>
              </a:solidFill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241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</a:t>
            </a:r>
          </a:p>
        </c:rich>
      </c:tx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363249947738835"/>
          <c:y val="3.403030893223153E-2"/>
          <c:w val="0.7673704503751192"/>
          <c:h val="0.7000955269283919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'Task-3'!$A$2:$A$4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'Task-3'!$C$2:$C$4</c:f>
              <c:numCache>
                <c:formatCode>General</c:formatCode>
                <c:ptCount val="3"/>
                <c:pt idx="0">
                  <c:v>1100</c:v>
                </c:pt>
                <c:pt idx="1">
                  <c:v>1000</c:v>
                </c:pt>
                <c:pt idx="2">
                  <c:v>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F-4E97-A1AB-D67E5E6D0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0922640"/>
        <c:axId val="967628240"/>
      </c:lineChart>
      <c:catAx>
        <c:axId val="1020922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628240"/>
        <c:crosses val="autoZero"/>
        <c:auto val="1"/>
        <c:lblAlgn val="ctr"/>
        <c:lblOffset val="100"/>
        <c:noMultiLvlLbl val="0"/>
      </c:catAx>
      <c:valAx>
        <c:axId val="96762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solidFill>
                <a:schemeClr val="tx1">
                  <a:lumMod val="85000"/>
                  <a:lumOff val="15000"/>
                </a:schemeClr>
              </a:solidFill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92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</a:t>
            </a:r>
          </a:p>
        </c:rich>
      </c:tx>
      <c:overlay val="0"/>
      <c:spPr>
        <a:noFill/>
        <a:ln>
          <a:solidFill>
            <a:schemeClr val="tx1">
              <a:lumMod val="95000"/>
              <a:lumOff val="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'Task-3'!$A$2:$A$10</c:f>
              <c:strCache>
                <c:ptCount val="9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</c:strCache>
            </c:strRef>
          </c:cat>
          <c:val>
            <c:numRef>
              <c:f>'Task-3'!$C$2:$C$10</c:f>
              <c:numCache>
                <c:formatCode>General</c:formatCode>
                <c:ptCount val="9"/>
                <c:pt idx="0">
                  <c:v>1100</c:v>
                </c:pt>
                <c:pt idx="1">
                  <c:v>1000</c:v>
                </c:pt>
                <c:pt idx="2">
                  <c:v>950</c:v>
                </c:pt>
                <c:pt idx="3">
                  <c:v>1200</c:v>
                </c:pt>
                <c:pt idx="4">
                  <c:v>800</c:v>
                </c:pt>
                <c:pt idx="5">
                  <c:v>1050</c:v>
                </c:pt>
                <c:pt idx="6">
                  <c:v>900</c:v>
                </c:pt>
                <c:pt idx="7">
                  <c:v>1150</c:v>
                </c:pt>
                <c:pt idx="8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FF-4D61-833B-1426CC445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30208"/>
        <c:axId val="967715120"/>
      </c:lineChart>
      <c:catAx>
        <c:axId val="970630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715120"/>
        <c:crosses val="autoZero"/>
        <c:auto val="1"/>
        <c:lblAlgn val="ctr"/>
        <c:lblOffset val="100"/>
        <c:noMultiLvlLbl val="0"/>
      </c:catAx>
      <c:valAx>
        <c:axId val="96771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630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Percentage Itemwise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8032619775739041E-2"/>
          <c:y val="0.15502645502645507"/>
          <c:w val="0.94393476044852187"/>
          <c:h val="0.8042735042735043"/>
        </c:manualLayout>
      </c:layout>
      <c:pie3DChart>
        <c:varyColors val="1"/>
        <c:ser>
          <c:idx val="0"/>
          <c:order val="0"/>
          <c:tx>
            <c:strRef>
              <c:f>'Task-4'!$E$1</c:f>
              <c:strCache>
                <c:ptCount val="1"/>
                <c:pt idx="0">
                  <c:v>Profit Percentage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tint val="50000"/>
                      <a:satMod val="300000"/>
                    </a:schemeClr>
                  </a:gs>
                  <a:gs pos="35000">
                    <a:schemeClr val="accent6">
                      <a:tint val="37000"/>
                      <a:satMod val="300000"/>
                    </a:schemeClr>
                  </a:gs>
                  <a:gs pos="100000">
                    <a:schemeClr val="accent6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2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2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3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3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4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4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'Task-4'!$A$2:$A$11</c:f>
              <c:strCache>
                <c:ptCount val="10"/>
                <c:pt idx="0">
                  <c:v>Product D</c:v>
                </c:pt>
                <c:pt idx="1">
                  <c:v>Product E</c:v>
                </c:pt>
                <c:pt idx="2">
                  <c:v>Product F</c:v>
                </c:pt>
                <c:pt idx="3">
                  <c:v>Product G</c:v>
                </c:pt>
                <c:pt idx="4">
                  <c:v>Product H</c:v>
                </c:pt>
                <c:pt idx="5">
                  <c:v>Product I</c:v>
                </c:pt>
                <c:pt idx="6">
                  <c:v>Product J</c:v>
                </c:pt>
                <c:pt idx="7">
                  <c:v>Product K</c:v>
                </c:pt>
                <c:pt idx="8">
                  <c:v>Product L</c:v>
                </c:pt>
                <c:pt idx="9">
                  <c:v>Product M</c:v>
                </c:pt>
              </c:strCache>
            </c:strRef>
          </c:cat>
          <c:val>
            <c:numRef>
              <c:f>'Task-4'!$E$2:$E$11</c:f>
              <c:numCache>
                <c:formatCode>0%</c:formatCode>
                <c:ptCount val="10"/>
                <c:pt idx="0">
                  <c:v>0.67073170731707321</c:v>
                </c:pt>
                <c:pt idx="1">
                  <c:v>0.66315789473684206</c:v>
                </c:pt>
                <c:pt idx="2">
                  <c:v>0.68571428571428572</c:v>
                </c:pt>
                <c:pt idx="3">
                  <c:v>0.69387755102040816</c:v>
                </c:pt>
                <c:pt idx="4">
                  <c:v>0.67816091954022983</c:v>
                </c:pt>
                <c:pt idx="5">
                  <c:v>0.70967741935483875</c:v>
                </c:pt>
                <c:pt idx="6">
                  <c:v>0.69607843137254899</c:v>
                </c:pt>
                <c:pt idx="7">
                  <c:v>0.67045454545454541</c:v>
                </c:pt>
                <c:pt idx="8">
                  <c:v>0.68085106382978722</c:v>
                </c:pt>
                <c:pt idx="9">
                  <c:v>0.65934065934065933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7F-4149-964D-1A0C085125C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0</xdr:row>
      <xdr:rowOff>49530</xdr:rowOff>
    </xdr:from>
    <xdr:to>
      <xdr:col>13</xdr:col>
      <xdr:colOff>266700</xdr:colOff>
      <xdr:row>10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868A34-FE11-5A92-3B95-BBEAD18BCD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281940</xdr:colOff>
      <xdr:row>0</xdr:row>
      <xdr:rowOff>45720</xdr:rowOff>
    </xdr:from>
    <xdr:to>
      <xdr:col>19</xdr:col>
      <xdr:colOff>68580</xdr:colOff>
      <xdr:row>10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B7EF19-7FD3-1D02-237D-FBFA522F7A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129540</xdr:colOff>
      <xdr:row>10</xdr:row>
      <xdr:rowOff>91440</xdr:rowOff>
    </xdr:from>
    <xdr:to>
      <xdr:col>15</xdr:col>
      <xdr:colOff>106680</xdr:colOff>
      <xdr:row>24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5F00EF-9039-95D5-81B8-8EAEA9E64C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12</xdr:row>
      <xdr:rowOff>7620</xdr:rowOff>
    </xdr:from>
    <xdr:to>
      <xdr:col>5</xdr:col>
      <xdr:colOff>129540</xdr:colOff>
      <xdr:row>25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4B0521-0BEA-79D0-11BB-1FC34B5191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65E830-8260-4703-9D88-8D61681785A1}" name="Table2" displayName="Table2" ref="A1:F12" totalsRowCount="1" headerRowDxfId="18" headerRowBorderDxfId="17" tableBorderDxfId="16" totalsRowBorderDxfId="15">
  <tableColumns count="6">
    <tableColumn id="1" xr3:uid="{447045BA-0F71-4045-B09F-E5BBAE5EB860}" name="Product ID" dataDxfId="14" totalsRowDxfId="13"/>
    <tableColumn id="2" xr3:uid="{1BF205FE-8A6F-4B84-BC03-5A639BCAE0D5}" name="Product Name" dataDxfId="12" totalsRowDxfId="11"/>
    <tableColumn id="3" xr3:uid="{F9F2609A-316C-4B51-A0BA-4EB711264994}" name="Category" totalsRowLabel="Total" dataDxfId="10" totalsRowDxfId="9"/>
    <tableColumn id="4" xr3:uid="{91EA9C04-008A-4F20-96C7-512E592F89F9}" name="Price" totalsRowFunction="custom" dataDxfId="8" totalsRowDxfId="7">
      <totalsRowFormula>SUM(Table2[Price])</totalsRowFormula>
    </tableColumn>
    <tableColumn id="5" xr3:uid="{34E1249D-BBA7-46F9-99A1-B6FEFC479AD4}" name="Quantity" totalsRowFunction="custom" dataDxfId="6" totalsRowDxfId="5">
      <totalsRowFormula>SUM(Table2[Quantity])</totalsRowFormula>
    </tableColumn>
    <tableColumn id="6" xr3:uid="{A35987A7-4366-4BA2-AEEF-ECA8F21694C6}" name="Total Price" totalsRowFunction="custom" dataDxfId="4" totalsRowDxfId="3">
      <calculatedColumnFormula>Table2[[#This Row],[Price]]*Table2[[#This Row],[Quantity]]</calculatedColumnFormula>
      <totalsRowFormula>SUM(Table2[Total Price])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48B05A-8437-4B09-83EE-3D844B0AF196}" name="Table3" displayName="Table3" ref="A1:G10" totalsRowShown="0" headerRowDxfId="27" headerRowBorderDxfId="26" tableBorderDxfId="25" totalsRowBorderDxfId="24">
  <autoFilter ref="A1:G10" xr:uid="{9A48B05A-8437-4B09-83EE-3D844B0AF196}"/>
  <tableColumns count="7">
    <tableColumn id="1" xr3:uid="{689CF144-CA18-477D-A2BD-3A13E257CB4F}" name="Month" dataDxfId="23"/>
    <tableColumn id="2" xr3:uid="{ACB3841A-1AA9-40A9-A9CF-D5ADD5FF20DF}" name="Sales A" dataDxfId="22"/>
    <tableColumn id="3" xr3:uid="{D972E084-E38C-49FF-B990-05C6FFB76688}" name="Sales B" dataDxfId="21"/>
    <tableColumn id="4" xr3:uid="{18086D05-745A-4AB8-9B93-9B2E0AB89799}" name="Sales C" dataDxfId="20"/>
    <tableColumn id="5" xr3:uid="{677D8CDD-E0DA-4082-9350-76AB1E37680D}" name="Total_Sales">
      <calculatedColumnFormula>SUM(Table3[[#This Row],[Sales A]:[Sales C]])</calculatedColumnFormula>
    </tableColumn>
    <tableColumn id="6" xr3:uid="{894E7313-A738-4F22-AA30-129E154FBC34}" name="Average Sales" dataDxfId="19">
      <calculatedColumnFormula>AVERAGE(Table3[[#This Row],[Sales A]:[Sales C]])</calculatedColumnFormula>
    </tableColumn>
    <tableColumn id="7" xr3:uid="{93ACB94C-1F0B-4741-B880-4307121D428E}" name="Monthwise_Highest_Sales_Value">
      <calculatedColumnFormula>MAX(Table3[[#This Row],[Sales A]],Table3[[#This Row],[Sales B]],Table3[[#This Row],[Sales C]])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F15"/>
  <sheetViews>
    <sheetView workbookViewId="0">
      <selection activeCell="C24" sqref="C24"/>
    </sheetView>
  </sheetViews>
  <sheetFormatPr defaultRowHeight="14.4" x14ac:dyDescent="0.3"/>
  <cols>
    <col min="1" max="1" width="14.77734375" bestFit="1" customWidth="1"/>
    <col min="2" max="2" width="14.88671875" bestFit="1" customWidth="1"/>
    <col min="3" max="3" width="16" bestFit="1" customWidth="1"/>
    <col min="4" max="4" width="17.88671875" bestFit="1" customWidth="1"/>
    <col min="5" max="5" width="17.33203125" bestFit="1" customWidth="1"/>
    <col min="6" max="6" width="14.5546875" customWidth="1"/>
  </cols>
  <sheetData>
    <row r="1" spans="1:6" x14ac:dyDescent="0.3">
      <c r="A1" s="7" t="s">
        <v>0</v>
      </c>
      <c r="B1" s="6" t="s">
        <v>1</v>
      </c>
      <c r="C1" s="13" t="s">
        <v>2</v>
      </c>
      <c r="D1" s="6" t="s">
        <v>3</v>
      </c>
      <c r="E1" s="6" t="s">
        <v>4</v>
      </c>
      <c r="F1" s="6" t="s">
        <v>97</v>
      </c>
    </row>
    <row r="2" spans="1:6" x14ac:dyDescent="0.3">
      <c r="A2" s="14">
        <v>3</v>
      </c>
      <c r="B2" s="15" t="s">
        <v>7</v>
      </c>
      <c r="C2" s="16">
        <v>78</v>
      </c>
      <c r="D2" s="17">
        <v>82</v>
      </c>
      <c r="E2" s="17">
        <v>85</v>
      </c>
      <c r="F2" s="17">
        <f>AVERAGE(C2:E2)</f>
        <v>81.666666666666671</v>
      </c>
    </row>
    <row r="3" spans="1:6" x14ac:dyDescent="0.3">
      <c r="A3" s="14">
        <v>6</v>
      </c>
      <c r="B3" s="15" t="s">
        <v>10</v>
      </c>
      <c r="C3" s="16">
        <v>82</v>
      </c>
      <c r="D3" s="17">
        <v>89</v>
      </c>
      <c r="E3" s="17">
        <v>84</v>
      </c>
      <c r="F3" s="17">
        <f t="shared" ref="F3:F10" si="0">AVERAGE(C3:E3)</f>
        <v>85</v>
      </c>
    </row>
    <row r="4" spans="1:6" x14ac:dyDescent="0.3">
      <c r="A4" s="14">
        <v>1</v>
      </c>
      <c r="B4" s="15" t="s">
        <v>5</v>
      </c>
      <c r="C4" s="16">
        <v>85</v>
      </c>
      <c r="D4" s="17">
        <v>90</v>
      </c>
      <c r="E4" s="17">
        <v>88</v>
      </c>
      <c r="F4" s="17">
        <f t="shared" si="0"/>
        <v>87.666666666666671</v>
      </c>
    </row>
    <row r="5" spans="1:6" x14ac:dyDescent="0.3">
      <c r="A5" s="15">
        <v>8</v>
      </c>
      <c r="B5" s="15" t="s">
        <v>12</v>
      </c>
      <c r="C5" s="16">
        <v>87</v>
      </c>
      <c r="D5" s="17">
        <v>83</v>
      </c>
      <c r="E5" s="17">
        <v>89</v>
      </c>
      <c r="F5" s="17">
        <f t="shared" si="0"/>
        <v>86.333333333333329</v>
      </c>
    </row>
    <row r="6" spans="1:6" x14ac:dyDescent="0.3">
      <c r="A6" s="14">
        <v>4</v>
      </c>
      <c r="B6" s="15" t="s">
        <v>8</v>
      </c>
      <c r="C6" s="16">
        <v>88</v>
      </c>
      <c r="D6" s="17">
        <v>85</v>
      </c>
      <c r="E6" s="17">
        <v>92</v>
      </c>
      <c r="F6" s="17">
        <f t="shared" si="0"/>
        <v>88.333333333333329</v>
      </c>
    </row>
    <row r="7" spans="1:6" x14ac:dyDescent="0.3">
      <c r="A7" s="14">
        <v>7</v>
      </c>
      <c r="B7" s="15" t="s">
        <v>11</v>
      </c>
      <c r="C7" s="16">
        <v>90</v>
      </c>
      <c r="D7" s="17">
        <v>86</v>
      </c>
      <c r="E7" s="17">
        <v>88</v>
      </c>
      <c r="F7" s="17">
        <f t="shared" si="0"/>
        <v>88</v>
      </c>
    </row>
    <row r="8" spans="1:6" x14ac:dyDescent="0.3">
      <c r="A8" s="14">
        <v>9</v>
      </c>
      <c r="B8" s="15" t="s">
        <v>13</v>
      </c>
      <c r="C8" s="16">
        <v>91</v>
      </c>
      <c r="D8" s="17">
        <v>87</v>
      </c>
      <c r="E8" s="17">
        <v>91</v>
      </c>
      <c r="F8" s="17">
        <f t="shared" si="0"/>
        <v>89.666666666666671</v>
      </c>
    </row>
    <row r="9" spans="1:6" x14ac:dyDescent="0.3">
      <c r="A9" s="14">
        <v>2</v>
      </c>
      <c r="B9" s="15" t="s">
        <v>6</v>
      </c>
      <c r="C9" s="16">
        <v>92</v>
      </c>
      <c r="D9" s="17">
        <v>88</v>
      </c>
      <c r="E9" s="17">
        <v>90</v>
      </c>
      <c r="F9" s="17">
        <f t="shared" si="0"/>
        <v>90</v>
      </c>
    </row>
    <row r="10" spans="1:6" x14ac:dyDescent="0.3">
      <c r="A10" s="14">
        <v>5</v>
      </c>
      <c r="B10" s="15" t="s">
        <v>9</v>
      </c>
      <c r="C10" s="16">
        <v>95</v>
      </c>
      <c r="D10" s="17">
        <v>91</v>
      </c>
      <c r="E10" s="17">
        <v>87</v>
      </c>
      <c r="F10" s="17">
        <f t="shared" si="0"/>
        <v>91</v>
      </c>
    </row>
    <row r="13" spans="1:6" ht="27.45" customHeight="1" x14ac:dyDescent="0.3">
      <c r="B13" s="30" t="s">
        <v>14</v>
      </c>
      <c r="C13" s="30"/>
      <c r="D13" s="30"/>
      <c r="E13" s="30"/>
      <c r="F13" s="18" t="s">
        <v>98</v>
      </c>
    </row>
    <row r="14" spans="1:6" ht="28.05" customHeight="1" x14ac:dyDescent="0.3">
      <c r="B14" s="30" t="s">
        <v>15</v>
      </c>
      <c r="C14" s="30"/>
      <c r="D14" s="30"/>
      <c r="E14" s="30"/>
      <c r="F14" s="18" t="s">
        <v>98</v>
      </c>
    </row>
    <row r="15" spans="1:6" ht="19.95" customHeight="1" x14ac:dyDescent="0.3">
      <c r="B15" s="30" t="s">
        <v>16</v>
      </c>
      <c r="C15" s="30"/>
      <c r="D15" s="30"/>
      <c r="E15" s="30"/>
      <c r="F15" s="18" t="s">
        <v>98</v>
      </c>
    </row>
  </sheetData>
  <autoFilter ref="A1:F10" xr:uid="{00000000-0001-0000-0000-000000000000}"/>
  <sortState xmlns:xlrd2="http://schemas.microsoft.com/office/spreadsheetml/2017/richdata2" ref="A2:E10">
    <sortCondition ref="C2:C10"/>
  </sortState>
  <mergeCells count="3">
    <mergeCell ref="B13:E13"/>
    <mergeCell ref="B14:E14"/>
    <mergeCell ref="B15:E15"/>
  </mergeCells>
  <conditionalFormatting sqref="F2:F10">
    <cfRule type="cellIs" dxfId="2" priority="1" operator="greaterThan">
      <formula>85</formula>
    </cfRule>
    <cfRule type="cellIs" dxfId="1" priority="2" operator="greaterThan">
      <formula>85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I18"/>
  <sheetViews>
    <sheetView workbookViewId="0">
      <selection activeCell="E17" sqref="E17"/>
    </sheetView>
  </sheetViews>
  <sheetFormatPr defaultRowHeight="14.4" x14ac:dyDescent="0.3"/>
  <cols>
    <col min="1" max="1" width="14.33203125" bestFit="1" customWidth="1"/>
    <col min="2" max="2" width="17.6640625" bestFit="1" customWidth="1"/>
    <col min="3" max="3" width="13" bestFit="1" customWidth="1"/>
    <col min="4" max="4" width="9.5546875" bestFit="1" customWidth="1"/>
    <col min="5" max="5" width="12.77734375" bestFit="1" customWidth="1"/>
    <col min="8" max="8" width="48.21875" customWidth="1"/>
  </cols>
  <sheetData>
    <row r="1" spans="1:9" x14ac:dyDescent="0.3">
      <c r="A1" s="20" t="s">
        <v>17</v>
      </c>
      <c r="B1" s="21" t="s">
        <v>18</v>
      </c>
      <c r="C1" s="21" t="s">
        <v>19</v>
      </c>
      <c r="D1" s="21" t="s">
        <v>20</v>
      </c>
      <c r="E1" s="22" t="s">
        <v>21</v>
      </c>
      <c r="F1" s="21" t="s">
        <v>100</v>
      </c>
    </row>
    <row r="2" spans="1:9" x14ac:dyDescent="0.3">
      <c r="A2" s="9">
        <v>1</v>
      </c>
      <c r="B2" s="1" t="s">
        <v>22</v>
      </c>
      <c r="C2" s="1" t="s">
        <v>23</v>
      </c>
      <c r="D2" s="1">
        <v>1000</v>
      </c>
      <c r="E2" s="19">
        <v>5</v>
      </c>
      <c r="F2" s="23">
        <f>Table2[[#This Row],[Price]]*Table2[[#This Row],[Quantity]]</f>
        <v>5000</v>
      </c>
    </row>
    <row r="3" spans="1:9" x14ac:dyDescent="0.3">
      <c r="A3" s="9">
        <v>2</v>
      </c>
      <c r="B3" s="1" t="s">
        <v>24</v>
      </c>
      <c r="C3" s="1" t="s">
        <v>25</v>
      </c>
      <c r="D3" s="1">
        <v>20</v>
      </c>
      <c r="E3" s="19">
        <v>10</v>
      </c>
      <c r="F3" s="23">
        <f>Table2[[#This Row],[Price]]*Table2[[#This Row],[Quantity]]</f>
        <v>200</v>
      </c>
    </row>
    <row r="4" spans="1:9" x14ac:dyDescent="0.3">
      <c r="A4" s="9">
        <v>3</v>
      </c>
      <c r="B4" s="1" t="s">
        <v>26</v>
      </c>
      <c r="C4" s="1" t="s">
        <v>23</v>
      </c>
      <c r="D4" s="1">
        <v>500</v>
      </c>
      <c r="E4" s="19">
        <v>8</v>
      </c>
      <c r="F4" s="23">
        <f>Table2[[#This Row],[Price]]*Table2[[#This Row],[Quantity]]</f>
        <v>4000</v>
      </c>
    </row>
    <row r="5" spans="1:9" x14ac:dyDescent="0.3">
      <c r="A5" s="9">
        <v>4</v>
      </c>
      <c r="B5" s="1" t="s">
        <v>27</v>
      </c>
      <c r="C5" s="1" t="s">
        <v>23</v>
      </c>
      <c r="D5" s="1">
        <v>200</v>
      </c>
      <c r="E5" s="19">
        <v>15</v>
      </c>
      <c r="F5" s="23">
        <f>Table2[[#This Row],[Price]]*Table2[[#This Row],[Quantity]]</f>
        <v>3000</v>
      </c>
    </row>
    <row r="6" spans="1:9" x14ac:dyDescent="0.3">
      <c r="A6" s="9">
        <v>5</v>
      </c>
      <c r="B6" s="1" t="s">
        <v>28</v>
      </c>
      <c r="C6" s="1" t="s">
        <v>25</v>
      </c>
      <c r="D6" s="1">
        <v>50</v>
      </c>
      <c r="E6" s="19">
        <v>12</v>
      </c>
      <c r="F6" s="23">
        <f>Table2[[#This Row],[Price]]*Table2[[#This Row],[Quantity]]</f>
        <v>600</v>
      </c>
    </row>
    <row r="7" spans="1:9" x14ac:dyDescent="0.3">
      <c r="A7" s="9">
        <v>6</v>
      </c>
      <c r="B7" s="1" t="s">
        <v>29</v>
      </c>
      <c r="C7" s="1" t="s">
        <v>23</v>
      </c>
      <c r="D7" s="1">
        <v>700</v>
      </c>
      <c r="E7" s="19">
        <v>6</v>
      </c>
      <c r="F7" s="23">
        <f>Table2[[#This Row],[Price]]*Table2[[#This Row],[Quantity]]</f>
        <v>4200</v>
      </c>
    </row>
    <row r="8" spans="1:9" x14ac:dyDescent="0.3">
      <c r="A8" s="9">
        <v>7</v>
      </c>
      <c r="B8" s="1" t="s">
        <v>30</v>
      </c>
      <c r="C8" s="1" t="s">
        <v>25</v>
      </c>
      <c r="D8" s="1">
        <v>30</v>
      </c>
      <c r="E8" s="19">
        <v>20</v>
      </c>
      <c r="F8" s="23">
        <f>Table2[[#This Row],[Price]]*Table2[[#This Row],[Quantity]]</f>
        <v>600</v>
      </c>
    </row>
    <row r="9" spans="1:9" x14ac:dyDescent="0.3">
      <c r="A9" s="9">
        <v>8</v>
      </c>
      <c r="B9" s="1" t="s">
        <v>31</v>
      </c>
      <c r="C9" s="1" t="s">
        <v>23</v>
      </c>
      <c r="D9" s="1">
        <v>1200</v>
      </c>
      <c r="E9" s="19">
        <v>3</v>
      </c>
      <c r="F9" s="23">
        <f>Table2[[#This Row],[Price]]*Table2[[#This Row],[Quantity]]</f>
        <v>3600</v>
      </c>
    </row>
    <row r="10" spans="1:9" x14ac:dyDescent="0.3">
      <c r="A10" s="9">
        <v>9</v>
      </c>
      <c r="B10" s="1" t="s">
        <v>32</v>
      </c>
      <c r="C10" s="1" t="s">
        <v>25</v>
      </c>
      <c r="D10" s="1">
        <v>80</v>
      </c>
      <c r="E10" s="19">
        <v>7</v>
      </c>
      <c r="F10" s="23">
        <f>Table2[[#This Row],[Price]]*Table2[[#This Row],[Quantity]]</f>
        <v>560</v>
      </c>
    </row>
    <row r="11" spans="1:9" x14ac:dyDescent="0.3">
      <c r="A11" s="12">
        <v>10</v>
      </c>
      <c r="B11" s="10" t="s">
        <v>33</v>
      </c>
      <c r="C11" s="10" t="s">
        <v>23</v>
      </c>
      <c r="D11" s="10">
        <v>300</v>
      </c>
      <c r="E11" s="11">
        <v>10</v>
      </c>
      <c r="F11" s="23">
        <f>Table2[[#This Row],[Price]]*Table2[[#This Row],[Quantity]]</f>
        <v>3000</v>
      </c>
    </row>
    <row r="12" spans="1:9" x14ac:dyDescent="0.3">
      <c r="A12" s="12"/>
      <c r="B12" s="10"/>
      <c r="C12" s="10" t="s">
        <v>99</v>
      </c>
      <c r="D12" s="10">
        <f>SUM(Table2[Price])</f>
        <v>4080</v>
      </c>
      <c r="E12" s="10">
        <f>SUM(Table2[Quantity])</f>
        <v>96</v>
      </c>
      <c r="F12" s="10">
        <f>SUM(Table2[Total Price])</f>
        <v>24760</v>
      </c>
      <c r="H12" s="2" t="s">
        <v>34</v>
      </c>
    </row>
    <row r="13" spans="1:9" x14ac:dyDescent="0.3">
      <c r="H13" s="3"/>
    </row>
    <row r="14" spans="1:9" ht="24" x14ac:dyDescent="0.3">
      <c r="H14" s="4" t="s">
        <v>35</v>
      </c>
      <c r="I14" s="4" t="s">
        <v>98</v>
      </c>
    </row>
    <row r="15" spans="1:9" x14ac:dyDescent="0.3">
      <c r="H15" s="4" t="s">
        <v>36</v>
      </c>
      <c r="I15" s="4" t="s">
        <v>98</v>
      </c>
    </row>
    <row r="16" spans="1:9" ht="24" x14ac:dyDescent="0.3">
      <c r="H16" s="4" t="s">
        <v>37</v>
      </c>
      <c r="I16" s="4" t="s">
        <v>98</v>
      </c>
    </row>
    <row r="17" spans="8:9" ht="24" x14ac:dyDescent="0.3">
      <c r="H17" s="4" t="s">
        <v>38</v>
      </c>
      <c r="I17" s="4" t="s">
        <v>98</v>
      </c>
    </row>
    <row r="18" spans="8:9" x14ac:dyDescent="0.3">
      <c r="H18" s="4" t="s">
        <v>39</v>
      </c>
      <c r="I18" s="4" t="s">
        <v>98</v>
      </c>
    </row>
  </sheetData>
  <dataConsolidate/>
  <conditionalFormatting sqref="E2:E1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{2CDCBBAA-A6F2-463A-85BF-C29DD60DBBE4}</x14:id>
        </ext>
      </extLst>
    </cfRule>
  </conditionalFormatting>
  <conditionalFormatting sqref="F2:F11">
    <cfRule type="cellIs" dxfId="0" priority="2" operator="greaterThan">
      <formula>500</formula>
    </cfRule>
  </conditionalFormatting>
  <dataValidations count="2">
    <dataValidation allowBlank="1" showInputMessage="1" showErrorMessage="1" promptTitle="Category" sqref="A1:B11 D1:F11" xr:uid="{D95B5588-09EB-4AE8-9DEB-2E3538520EC0}"/>
    <dataValidation type="list" allowBlank="1" showInputMessage="1" showErrorMessage="1" sqref="H2 C1:C11" xr:uid="{EF16950A-67CA-4034-809A-E72145CD728A}">
      <formula1>$C$2:$C$11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DCBBAA-A6F2-463A-85BF-C29DD60DBBE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E2:E11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G21"/>
  <sheetViews>
    <sheetView workbookViewId="0">
      <selection activeCell="G24" sqref="G24"/>
    </sheetView>
  </sheetViews>
  <sheetFormatPr defaultRowHeight="14.4" x14ac:dyDescent="0.3"/>
  <cols>
    <col min="1" max="1" width="9.88671875" bestFit="1" customWidth="1"/>
    <col min="2" max="2" width="11.33203125" bestFit="1" customWidth="1"/>
    <col min="3" max="4" width="11.21875" bestFit="1" customWidth="1"/>
    <col min="5" max="5" width="14.88671875" bestFit="1" customWidth="1"/>
    <col min="6" max="6" width="17" bestFit="1" customWidth="1"/>
    <col min="7" max="7" width="18.109375" customWidth="1"/>
  </cols>
  <sheetData>
    <row r="1" spans="1:7" ht="43.2" x14ac:dyDescent="0.3">
      <c r="A1" s="24" t="s">
        <v>45</v>
      </c>
      <c r="B1" s="25" t="s">
        <v>46</v>
      </c>
      <c r="C1" s="25" t="s">
        <v>47</v>
      </c>
      <c r="D1" s="26" t="s">
        <v>48</v>
      </c>
      <c r="E1" s="25" t="s">
        <v>101</v>
      </c>
      <c r="F1" s="25" t="s">
        <v>102</v>
      </c>
      <c r="G1" s="28" t="s">
        <v>104</v>
      </c>
    </row>
    <row r="2" spans="1:7" x14ac:dyDescent="0.3">
      <c r="A2" s="9" t="s">
        <v>49</v>
      </c>
      <c r="B2" s="1">
        <v>1200</v>
      </c>
      <c r="C2" s="1">
        <v>1100</v>
      </c>
      <c r="D2" s="19">
        <v>900</v>
      </c>
      <c r="E2">
        <f>SUM(Table3[[#This Row],[Sales A]:[Sales C]])</f>
        <v>3200</v>
      </c>
      <c r="F2" s="27">
        <f>AVERAGE(Table3[[#This Row],[Sales A]:[Sales C]])</f>
        <v>1066.6666666666667</v>
      </c>
      <c r="G2">
        <f>MAX(Table3[[#This Row],[Sales A]],Table3[[#This Row],[Sales B]],Table3[[#This Row],[Sales C]])</f>
        <v>1200</v>
      </c>
    </row>
    <row r="3" spans="1:7" x14ac:dyDescent="0.3">
      <c r="A3" s="9" t="s">
        <v>50</v>
      </c>
      <c r="B3" s="1">
        <v>900</v>
      </c>
      <c r="C3" s="1">
        <v>1000</v>
      </c>
      <c r="D3" s="19">
        <v>800</v>
      </c>
      <c r="E3">
        <f>SUM(Table3[[#This Row],[Sales A]:[Sales C]])</f>
        <v>2700</v>
      </c>
      <c r="F3" s="27">
        <f>AVERAGE(Table3[[#This Row],[Sales A]:[Sales C]])</f>
        <v>900</v>
      </c>
      <c r="G3">
        <f>MAX(Table3[[#This Row],[Sales A]],Table3[[#This Row],[Sales B]],Table3[[#This Row],[Sales C]])</f>
        <v>1000</v>
      </c>
    </row>
    <row r="4" spans="1:7" x14ac:dyDescent="0.3">
      <c r="A4" s="9" t="s">
        <v>51</v>
      </c>
      <c r="B4" s="1">
        <v>1300</v>
      </c>
      <c r="C4" s="1">
        <v>950</v>
      </c>
      <c r="D4" s="19">
        <v>1050</v>
      </c>
      <c r="E4">
        <f>SUM(Table3[[#This Row],[Sales A]:[Sales C]])</f>
        <v>3300</v>
      </c>
      <c r="F4" s="27">
        <f>AVERAGE(Table3[[#This Row],[Sales A]:[Sales C]])</f>
        <v>1100</v>
      </c>
      <c r="G4">
        <f>MAX(Table3[[#This Row],[Sales A]],Table3[[#This Row],[Sales B]],Table3[[#This Row],[Sales C]])</f>
        <v>1300</v>
      </c>
    </row>
    <row r="5" spans="1:7" x14ac:dyDescent="0.3">
      <c r="A5" s="9" t="s">
        <v>52</v>
      </c>
      <c r="B5" s="1">
        <v>1100</v>
      </c>
      <c r="C5" s="1">
        <v>1200</v>
      </c>
      <c r="D5" s="19">
        <v>850</v>
      </c>
      <c r="E5">
        <f>SUM(Table3[[#This Row],[Sales A]:[Sales C]])</f>
        <v>3150</v>
      </c>
      <c r="F5" s="27">
        <f>AVERAGE(Table3[[#This Row],[Sales A]:[Sales C]])</f>
        <v>1050</v>
      </c>
      <c r="G5">
        <f>MAX(Table3[[#This Row],[Sales A]],Table3[[#This Row],[Sales B]],Table3[[#This Row],[Sales C]])</f>
        <v>1200</v>
      </c>
    </row>
    <row r="6" spans="1:7" x14ac:dyDescent="0.3">
      <c r="A6" s="9" t="s">
        <v>53</v>
      </c>
      <c r="B6" s="1">
        <v>950</v>
      </c>
      <c r="C6" s="1">
        <v>800</v>
      </c>
      <c r="D6" s="19">
        <v>950</v>
      </c>
      <c r="E6">
        <f>SUM(Table3[[#This Row],[Sales A]:[Sales C]])</f>
        <v>2700</v>
      </c>
      <c r="F6" s="27">
        <f>AVERAGE(Table3[[#This Row],[Sales A]:[Sales C]])</f>
        <v>900</v>
      </c>
      <c r="G6">
        <f>MAX(Table3[[#This Row],[Sales A]],Table3[[#This Row],[Sales B]],Table3[[#This Row],[Sales C]])</f>
        <v>950</v>
      </c>
    </row>
    <row r="7" spans="1:7" x14ac:dyDescent="0.3">
      <c r="A7" s="9" t="s">
        <v>54</v>
      </c>
      <c r="B7" s="1">
        <v>1150</v>
      </c>
      <c r="C7" s="1">
        <v>1050</v>
      </c>
      <c r="D7" s="19">
        <v>1000</v>
      </c>
      <c r="E7">
        <f>SUM(Table3[[#This Row],[Sales A]:[Sales C]])</f>
        <v>3200</v>
      </c>
      <c r="F7" s="27">
        <f>AVERAGE(Table3[[#This Row],[Sales A]:[Sales C]])</f>
        <v>1066.6666666666667</v>
      </c>
      <c r="G7">
        <f>MAX(Table3[[#This Row],[Sales A]],Table3[[#This Row],[Sales B]],Table3[[#This Row],[Sales C]])</f>
        <v>1150</v>
      </c>
    </row>
    <row r="8" spans="1:7" x14ac:dyDescent="0.3">
      <c r="A8" s="9" t="s">
        <v>55</v>
      </c>
      <c r="B8" s="1">
        <v>1050</v>
      </c>
      <c r="C8" s="1">
        <v>900</v>
      </c>
      <c r="D8" s="19">
        <v>1100</v>
      </c>
      <c r="E8">
        <f>SUM(Table3[[#This Row],[Sales A]:[Sales C]])</f>
        <v>3050</v>
      </c>
      <c r="F8" s="27">
        <f>AVERAGE(Table3[[#This Row],[Sales A]:[Sales C]])</f>
        <v>1016.6666666666666</v>
      </c>
      <c r="G8">
        <f>MAX(Table3[[#This Row],[Sales A]],Table3[[#This Row],[Sales B]],Table3[[#This Row],[Sales C]])</f>
        <v>1100</v>
      </c>
    </row>
    <row r="9" spans="1:7" x14ac:dyDescent="0.3">
      <c r="A9" s="9" t="s">
        <v>56</v>
      </c>
      <c r="B9" s="1">
        <v>1000</v>
      </c>
      <c r="C9" s="1">
        <v>1150</v>
      </c>
      <c r="D9" s="19">
        <v>950</v>
      </c>
      <c r="E9">
        <f>SUM(Table3[[#This Row],[Sales A]:[Sales C]])</f>
        <v>3100</v>
      </c>
      <c r="F9" s="27">
        <f>AVERAGE(Table3[[#This Row],[Sales A]:[Sales C]])</f>
        <v>1033.3333333333333</v>
      </c>
      <c r="G9">
        <f>MAX(Table3[[#This Row],[Sales A]],Table3[[#This Row],[Sales B]],Table3[[#This Row],[Sales C]])</f>
        <v>1150</v>
      </c>
    </row>
    <row r="10" spans="1:7" x14ac:dyDescent="0.3">
      <c r="A10" s="12" t="s">
        <v>57</v>
      </c>
      <c r="B10" s="10">
        <v>1250</v>
      </c>
      <c r="C10" s="10">
        <v>1000</v>
      </c>
      <c r="D10" s="11">
        <v>1200</v>
      </c>
      <c r="E10">
        <f>SUM(Table3[[#This Row],[Sales A]:[Sales C]])</f>
        <v>3450</v>
      </c>
      <c r="F10" s="27">
        <f>AVERAGE(Table3[[#This Row],[Sales A]:[Sales C]])</f>
        <v>1150</v>
      </c>
      <c r="G10">
        <f>MAX(Table3[[#This Row],[Sales A]],Table3[[#This Row],[Sales B]],Table3[[#This Row],[Sales C]])</f>
        <v>1250</v>
      </c>
    </row>
    <row r="12" spans="1:7" x14ac:dyDescent="0.3">
      <c r="A12" s="29" t="s">
        <v>103</v>
      </c>
      <c r="B12" s="29"/>
      <c r="C12" s="29"/>
      <c r="D12" s="29"/>
      <c r="E12" s="1">
        <f>COUNTIF(Table3[Sales A],"&gt;1000")</f>
        <v>6</v>
      </c>
    </row>
    <row r="15" spans="1:7" x14ac:dyDescent="0.3">
      <c r="A15" t="s">
        <v>34</v>
      </c>
    </row>
    <row r="17" spans="1:1" x14ac:dyDescent="0.3">
      <c r="A17" t="s">
        <v>40</v>
      </c>
    </row>
    <row r="18" spans="1:1" x14ac:dyDescent="0.3">
      <c r="A18" t="s">
        <v>41</v>
      </c>
    </row>
    <row r="19" spans="1:1" x14ac:dyDescent="0.3">
      <c r="A19" t="s">
        <v>42</v>
      </c>
    </row>
    <row r="20" spans="1:1" x14ac:dyDescent="0.3">
      <c r="A20" t="s">
        <v>43</v>
      </c>
    </row>
    <row r="21" spans="1:1" x14ac:dyDescent="0.3">
      <c r="A21" t="s">
        <v>44</v>
      </c>
    </row>
  </sheetData>
  <mergeCells count="1">
    <mergeCell ref="A12:D12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F9FF-FD80-4281-AFE9-6CCF2977C968}">
  <sheetPr>
    <tabColor rgb="FF00B050"/>
  </sheetPr>
  <dimension ref="A1:I16"/>
  <sheetViews>
    <sheetView workbookViewId="0">
      <selection activeCell="H26" sqref="H26"/>
    </sheetView>
  </sheetViews>
  <sheetFormatPr defaultRowHeight="14.4" x14ac:dyDescent="0.3"/>
  <cols>
    <col min="1" max="1" width="9.44140625" bestFit="1" customWidth="1"/>
    <col min="2" max="4" width="9.88671875" bestFit="1" customWidth="1"/>
    <col min="5" max="5" width="15.6640625" bestFit="1" customWidth="1"/>
    <col min="6" max="6" width="11.33203125" bestFit="1" customWidth="1"/>
  </cols>
  <sheetData>
    <row r="1" spans="1:9" x14ac:dyDescent="0.3">
      <c r="A1" s="7" t="s">
        <v>63</v>
      </c>
      <c r="B1" s="7" t="s">
        <v>64</v>
      </c>
      <c r="C1" s="7" t="s">
        <v>65</v>
      </c>
      <c r="D1" s="32" t="s">
        <v>66</v>
      </c>
      <c r="E1" s="32" t="s">
        <v>106</v>
      </c>
      <c r="F1" s="33" t="s">
        <v>105</v>
      </c>
    </row>
    <row r="2" spans="1:9" x14ac:dyDescent="0.3">
      <c r="A2" s="1" t="s">
        <v>67</v>
      </c>
      <c r="B2" s="35">
        <v>550</v>
      </c>
      <c r="C2" s="35">
        <v>820</v>
      </c>
      <c r="D2" s="35">
        <f>C2-B2</f>
        <v>270</v>
      </c>
      <c r="E2" s="34">
        <f>B2/C2</f>
        <v>0.67073170731707321</v>
      </c>
      <c r="F2" s="1" t="str">
        <f>IF(D2&gt;0,"Profitable","Not Profitable")</f>
        <v>Profitable</v>
      </c>
    </row>
    <row r="3" spans="1:9" x14ac:dyDescent="0.3">
      <c r="A3" s="1" t="s">
        <v>68</v>
      </c>
      <c r="B3" s="35">
        <v>630</v>
      </c>
      <c r="C3" s="35">
        <v>950</v>
      </c>
      <c r="D3" s="35">
        <f t="shared" ref="D3:D11" si="0">C3-B3</f>
        <v>320</v>
      </c>
      <c r="E3" s="34">
        <f t="shared" ref="E3:E11" si="1">B3/C3</f>
        <v>0.66315789473684206</v>
      </c>
      <c r="F3" s="1" t="str">
        <f t="shared" ref="F3:F11" si="2">IF(D3&gt;0,"Profitable","Not Profitable")</f>
        <v>Profitable</v>
      </c>
    </row>
    <row r="4" spans="1:9" x14ac:dyDescent="0.3">
      <c r="A4" s="1" t="s">
        <v>69</v>
      </c>
      <c r="B4" s="35">
        <v>720</v>
      </c>
      <c r="C4" s="35">
        <v>1050</v>
      </c>
      <c r="D4" s="35">
        <f t="shared" si="0"/>
        <v>330</v>
      </c>
      <c r="E4" s="34">
        <f t="shared" si="1"/>
        <v>0.68571428571428572</v>
      </c>
      <c r="F4" s="1" t="str">
        <f t="shared" si="2"/>
        <v>Profitable</v>
      </c>
    </row>
    <row r="5" spans="1:9" x14ac:dyDescent="0.3">
      <c r="A5" s="1" t="s">
        <v>70</v>
      </c>
      <c r="B5" s="35">
        <v>680</v>
      </c>
      <c r="C5" s="35">
        <v>980</v>
      </c>
      <c r="D5" s="35">
        <f t="shared" si="0"/>
        <v>300</v>
      </c>
      <c r="E5" s="34">
        <f t="shared" si="1"/>
        <v>0.69387755102040816</v>
      </c>
      <c r="F5" s="1" t="str">
        <f t="shared" si="2"/>
        <v>Profitable</v>
      </c>
    </row>
    <row r="6" spans="1:9" x14ac:dyDescent="0.3">
      <c r="A6" s="1" t="s">
        <v>71</v>
      </c>
      <c r="B6" s="35">
        <v>590</v>
      </c>
      <c r="C6" s="35">
        <v>870</v>
      </c>
      <c r="D6" s="35">
        <f t="shared" si="0"/>
        <v>280</v>
      </c>
      <c r="E6" s="34">
        <f t="shared" si="1"/>
        <v>0.67816091954022983</v>
      </c>
      <c r="F6" s="1" t="str">
        <f t="shared" si="2"/>
        <v>Profitable</v>
      </c>
    </row>
    <row r="7" spans="1:9" x14ac:dyDescent="0.3">
      <c r="A7" s="1" t="s">
        <v>72</v>
      </c>
      <c r="B7" s="35">
        <v>660</v>
      </c>
      <c r="C7" s="35">
        <v>930</v>
      </c>
      <c r="D7" s="35">
        <f t="shared" si="0"/>
        <v>270</v>
      </c>
      <c r="E7" s="34">
        <f t="shared" si="1"/>
        <v>0.70967741935483875</v>
      </c>
      <c r="F7" s="1" t="str">
        <f t="shared" si="2"/>
        <v>Profitable</v>
      </c>
    </row>
    <row r="8" spans="1:9" x14ac:dyDescent="0.3">
      <c r="A8" s="1" t="s">
        <v>73</v>
      </c>
      <c r="B8" s="35">
        <v>710</v>
      </c>
      <c r="C8" s="35">
        <v>1020</v>
      </c>
      <c r="D8" s="35">
        <f t="shared" si="0"/>
        <v>310</v>
      </c>
      <c r="E8" s="34">
        <f t="shared" si="1"/>
        <v>0.69607843137254899</v>
      </c>
      <c r="F8" s="1" t="str">
        <f t="shared" si="2"/>
        <v>Profitable</v>
      </c>
    </row>
    <row r="9" spans="1:9" x14ac:dyDescent="0.3">
      <c r="A9" s="1" t="s">
        <v>74</v>
      </c>
      <c r="B9" s="35">
        <v>590</v>
      </c>
      <c r="C9" s="35">
        <v>880</v>
      </c>
      <c r="D9" s="35">
        <f t="shared" si="0"/>
        <v>290</v>
      </c>
      <c r="E9" s="34">
        <f t="shared" si="1"/>
        <v>0.67045454545454541</v>
      </c>
      <c r="F9" s="1" t="str">
        <f t="shared" si="2"/>
        <v>Profitable</v>
      </c>
    </row>
    <row r="10" spans="1:9" x14ac:dyDescent="0.3">
      <c r="A10" s="1" t="s">
        <v>75</v>
      </c>
      <c r="B10" s="35">
        <v>640</v>
      </c>
      <c r="C10" s="35">
        <v>940</v>
      </c>
      <c r="D10" s="35">
        <f t="shared" si="0"/>
        <v>300</v>
      </c>
      <c r="E10" s="34">
        <f t="shared" si="1"/>
        <v>0.68085106382978722</v>
      </c>
      <c r="F10" s="1" t="str">
        <f t="shared" si="2"/>
        <v>Profitable</v>
      </c>
      <c r="I10" t="s">
        <v>34</v>
      </c>
    </row>
    <row r="11" spans="1:9" ht="15" thickBot="1" x14ac:dyDescent="0.35">
      <c r="A11" s="10" t="s">
        <v>76</v>
      </c>
      <c r="B11" s="35">
        <v>600</v>
      </c>
      <c r="C11" s="35">
        <v>910</v>
      </c>
      <c r="D11" s="35">
        <f t="shared" si="0"/>
        <v>310</v>
      </c>
      <c r="E11" s="34">
        <f t="shared" si="1"/>
        <v>0.65934065934065933</v>
      </c>
      <c r="F11" s="1" t="str">
        <f t="shared" si="2"/>
        <v>Profitable</v>
      </c>
    </row>
    <row r="12" spans="1:9" ht="15" thickBot="1" x14ac:dyDescent="0.35">
      <c r="A12" s="31" t="s">
        <v>99</v>
      </c>
      <c r="B12" s="37">
        <f>SUM(B2:B11)</f>
        <v>6370</v>
      </c>
      <c r="C12" s="37">
        <f t="shared" ref="C12:D12" si="3">SUM(C2:C11)</f>
        <v>9350</v>
      </c>
      <c r="D12" s="37">
        <f t="shared" si="3"/>
        <v>2980</v>
      </c>
      <c r="E12" s="36">
        <f>AVERAGE(E2:E11)</f>
        <v>0.68080444776812199</v>
      </c>
      <c r="F12" s="1"/>
      <c r="I12" t="s">
        <v>58</v>
      </c>
    </row>
    <row r="13" spans="1:9" x14ac:dyDescent="0.3">
      <c r="I13" t="s">
        <v>59</v>
      </c>
    </row>
    <row r="14" spans="1:9" x14ac:dyDescent="0.3">
      <c r="I14" t="s">
        <v>60</v>
      </c>
    </row>
    <row r="15" spans="1:9" x14ac:dyDescent="0.3">
      <c r="I15" t="s">
        <v>61</v>
      </c>
    </row>
    <row r="16" spans="1:9" x14ac:dyDescent="0.3">
      <c r="I16" t="s">
        <v>62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D7D5C-9620-4905-8C3B-7F290BF6B079}">
  <dimension ref="A1:I17"/>
  <sheetViews>
    <sheetView tabSelected="1" workbookViewId="0">
      <selection activeCell="C12" sqref="C12"/>
    </sheetView>
  </sheetViews>
  <sheetFormatPr defaultRowHeight="14.4" x14ac:dyDescent="0.3"/>
  <cols>
    <col min="1" max="1" width="11.21875" bestFit="1" customWidth="1"/>
    <col min="2" max="2" width="14.44140625" bestFit="1" customWidth="1"/>
    <col min="3" max="3" width="11.109375" bestFit="1" customWidth="1"/>
    <col min="4" max="4" width="5.77734375" bestFit="1" customWidth="1"/>
    <col min="5" max="5" width="10.109375" bestFit="1" customWidth="1"/>
  </cols>
  <sheetData>
    <row r="1" spans="1:9" x14ac:dyDescent="0.3">
      <c r="A1" s="5" t="s">
        <v>82</v>
      </c>
      <c r="B1" s="5" t="s">
        <v>83</v>
      </c>
      <c r="C1" s="5" t="s">
        <v>84</v>
      </c>
      <c r="D1" s="5" t="s">
        <v>85</v>
      </c>
      <c r="E1" s="5" t="s">
        <v>86</v>
      </c>
    </row>
    <row r="2" spans="1:9" x14ac:dyDescent="0.3">
      <c r="A2" s="1">
        <v>1</v>
      </c>
      <c r="B2" s="1" t="s">
        <v>87</v>
      </c>
      <c r="C2" s="1" t="s">
        <v>88</v>
      </c>
      <c r="D2" s="1">
        <v>55000</v>
      </c>
      <c r="E2" s="8">
        <v>43059</v>
      </c>
    </row>
    <row r="3" spans="1:9" x14ac:dyDescent="0.3">
      <c r="A3" s="1">
        <v>2</v>
      </c>
      <c r="B3" s="1" t="s">
        <v>89</v>
      </c>
      <c r="C3" s="1" t="s">
        <v>90</v>
      </c>
      <c r="D3" s="1">
        <v>65000</v>
      </c>
      <c r="E3" s="8">
        <v>43682</v>
      </c>
    </row>
    <row r="4" spans="1:9" x14ac:dyDescent="0.3">
      <c r="A4" s="1">
        <v>3</v>
      </c>
      <c r="B4" s="1" t="s">
        <v>91</v>
      </c>
      <c r="C4" s="1" t="s">
        <v>92</v>
      </c>
      <c r="D4" s="1">
        <v>72000</v>
      </c>
      <c r="E4" s="8">
        <v>43146</v>
      </c>
    </row>
    <row r="5" spans="1:9" x14ac:dyDescent="0.3">
      <c r="A5" s="1">
        <v>4</v>
      </c>
      <c r="B5" s="1" t="s">
        <v>93</v>
      </c>
      <c r="C5" s="1" t="s">
        <v>90</v>
      </c>
      <c r="D5" s="1">
        <v>63000</v>
      </c>
      <c r="E5" s="8">
        <v>43833</v>
      </c>
    </row>
    <row r="6" spans="1:9" x14ac:dyDescent="0.3">
      <c r="A6" s="1">
        <v>5</v>
      </c>
      <c r="B6" s="1" t="s">
        <v>94</v>
      </c>
      <c r="C6" s="1" t="s">
        <v>88</v>
      </c>
      <c r="D6" s="1">
        <v>58000</v>
      </c>
      <c r="E6" s="8">
        <v>42623</v>
      </c>
    </row>
    <row r="7" spans="1:9" x14ac:dyDescent="0.3">
      <c r="A7" s="1">
        <v>6</v>
      </c>
      <c r="B7" s="1" t="s">
        <v>95</v>
      </c>
      <c r="C7" s="1" t="s">
        <v>92</v>
      </c>
      <c r="D7" s="1">
        <v>68000</v>
      </c>
      <c r="E7" s="8">
        <v>42911</v>
      </c>
    </row>
    <row r="8" spans="1:9" x14ac:dyDescent="0.3">
      <c r="A8" s="1">
        <v>7</v>
      </c>
      <c r="B8" s="1" t="s">
        <v>96</v>
      </c>
      <c r="C8" s="1" t="s">
        <v>90</v>
      </c>
      <c r="D8" s="1">
        <v>70000</v>
      </c>
      <c r="E8" s="8">
        <v>43567</v>
      </c>
    </row>
    <row r="11" spans="1:9" x14ac:dyDescent="0.3">
      <c r="I11" t="s">
        <v>34</v>
      </c>
    </row>
    <row r="13" spans="1:9" x14ac:dyDescent="0.3">
      <c r="I13" t="s">
        <v>77</v>
      </c>
    </row>
    <row r="14" spans="1:9" x14ac:dyDescent="0.3">
      <c r="I14" t="s">
        <v>78</v>
      </c>
    </row>
    <row r="15" spans="1:9" x14ac:dyDescent="0.3">
      <c r="I15" t="s">
        <v>79</v>
      </c>
    </row>
    <row r="16" spans="1:9" x14ac:dyDescent="0.3">
      <c r="I16" t="s">
        <v>80</v>
      </c>
    </row>
    <row r="17" spans="9:9" x14ac:dyDescent="0.3">
      <c r="I17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Task-1</vt:lpstr>
      <vt:lpstr>Task-2</vt:lpstr>
      <vt:lpstr>Task-3</vt:lpstr>
      <vt:lpstr>Task-4</vt:lpstr>
      <vt:lpstr>Task-5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Rajinder</dc:creator>
  <cp:lastModifiedBy>HP</cp:lastModifiedBy>
  <dcterms:created xsi:type="dcterms:W3CDTF">2024-06-25T12:42:29Z</dcterms:created>
  <dcterms:modified xsi:type="dcterms:W3CDTF">2026-07-06T03:22:09Z</dcterms:modified>
</cp:coreProperties>
</file>